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Contract Lookup" sheetId="3" state="visible" r:id="rId3"/>
    <sheet xmlns:r="http://schemas.openxmlformats.org/officeDocument/2006/relationships" name="Pivot Analysis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7365D"/>
    </font>
    <font>
      <b val="1"/>
      <color rgb="0017365D"/>
      <sz val="16"/>
    </font>
    <font>
      <b val="1"/>
      <color rgb="00FFFFFF"/>
    </font>
    <font>
      <i val="1"/>
      <color rgb="00666666"/>
    </font>
    <font>
      <b val="1"/>
      <color rgb="00FFFFFF"/>
      <sz val="20"/>
    </font>
    <font>
      <b val="1"/>
      <color rgb="0017365D"/>
      <sz val="12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EF5FB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2F75B5"/>
      </patternFill>
    </fill>
  </fills>
  <borders count="5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left/>
      <right/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/>
      <diagonal/>
    </border>
    <border>
      <left/>
      <right style="thin">
        <color rgb="00D9E1F2"/>
      </right>
      <top style="thin">
        <color rgb="00D9E1F2"/>
      </top>
      <bottom style="thin">
        <color rgb="00D9E1F2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pivotButton="0" quotePrefix="0" xfId="0"/>
    <xf numFmtId="0" fontId="0" fillId="0" borderId="4" pivotButton="0" quotePrefix="0" xfId="0"/>
    <xf numFmtId="0" fontId="3" fillId="6" borderId="1" pivotButton="0" quotePrefix="0" xfId="0"/>
    <xf numFmtId="0" fontId="3" fillId="7" borderId="1" pivotButton="0" quotePrefix="0" xfId="0"/>
    <xf numFmtId="3" fontId="4" fillId="5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2" fillId="3" borderId="0" pivotButton="0" quotePrefix="0" xfId="0"/>
    <xf numFmtId="0" fontId="5" fillId="8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10" fontId="4" fillId="5" borderId="1" applyAlignment="1" pivotButton="0" quotePrefix="0" xfId="0">
      <alignment horizontal="center"/>
    </xf>
    <xf numFmtId="0" fontId="5" fillId="8" borderId="1" pivotButton="0" quotePrefix="0" xfId="0"/>
    <xf numFmtId="164" fontId="0" fillId="0" borderId="1" applyAlignment="1" pivotButton="0" quotePrefix="0" xfId="0">
      <alignment vertical="center"/>
    </xf>
    <xf numFmtId="0" fontId="1" fillId="2" borderId="0" pivotButton="0" quotePrefix="0" xfId="0"/>
    <xf numFmtId="0" fontId="6" fillId="3" borderId="0" pivotButton="0" quotePrefix="0" xfId="0"/>
    <xf numFmtId="0" fontId="5" fillId="8" borderId="1" applyAlignment="1" pivotButton="0" quotePrefix="0" xfId="0">
      <alignment horizontal="center" wrapText="1"/>
    </xf>
    <xf numFmtId="10" fontId="0" fillId="0" borderId="1" pivotButton="0" quotePrefix="0" xfId="0"/>
    <xf numFmtId="3" fontId="4" fillId="0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Contract Qty by Customer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Delivered vs 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Analysis'!$D$4:$D$8</f>
            </numRef>
          </val>
        </ser>
        <ser>
          <idx val="1"/>
          <order val="1"/>
          <tx>
            <strRef>
              <f>'Pivot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Analysis'!$A$4:$A$8</f>
            </numRef>
          </cat>
          <val>
            <numRef>
              <f>'Pivot Analysis'!$E$4:$E$8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12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ntracts" displayName="Contracts" ref="A4:N24" headerRowCount="1">
  <autoFilter ref="A4:N24"/>
  <tableColumns count="14">
    <tableColumn id="1" name="Contract ID"/>
    <tableColumn id="2" name="Start Date"/>
    <tableColumn id="3" name="Due Date"/>
    <tableColumn id="4" name="Customer"/>
    <tableColumn id="5" name="Article"/>
    <tableColumn id="6" name="Fabric Type"/>
    <tableColumn id="7" name="UOM"/>
    <tableColumn id="8" name="Contract Qty M"/>
    <tableColumn id="9" name="Delivered M"/>
    <tableColumn id="10" name="Pending M"/>
    <tableColumn id="11" name="Rate/M"/>
    <tableColumn id="12" name="Contract Value PKR"/>
    <tableColumn id="13" name="Est. Cost PKR"/>
    <tableColumn id="14" name="Est. Margin PK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ivotContract" displayName="tblPivotContract" ref="A3:H8" headerRowCount="1">
  <autoFilter ref="A3:H8"/>
  <tableColumns count="8">
    <tableColumn id="1" name="Customer"/>
    <tableColumn id="2" name="Contracts"/>
    <tableColumn id="3" name="Contract Qty M"/>
    <tableColumn id="4" name="Delivered M"/>
    <tableColumn id="5" name="Pending M"/>
    <tableColumn id="6" name="Value PKR"/>
    <tableColumn id="7" name="Margin PKR"/>
    <tableColumn id="8" name="Completion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7" t="inlineStr">
        <is>
          <t>WEAVING DEPARTMENT | CONTRACT MANAGEMENT DASHBOARD</t>
        </is>
      </c>
    </row>
    <row r="2">
      <c r="A2" s="26" t="inlineStr">
        <is>
          <t>Corporate reporting pack • Source data + Pivot Analysis + Pivot Charts • Filter controls</t>
        </is>
      </c>
    </row>
    <row r="4">
      <c r="A4" s="19" t="inlineStr">
        <is>
          <t>Contract Qty M</t>
        </is>
      </c>
      <c r="D4" s="19" t="inlineStr">
        <is>
          <t>Delivered M</t>
        </is>
      </c>
      <c r="G4" s="19" t="inlineStr">
        <is>
          <t>Pending M</t>
        </is>
      </c>
      <c r="J4" s="19" t="inlineStr">
        <is>
          <t>Contract Value PKR</t>
        </is>
      </c>
    </row>
    <row r="5">
      <c r="A5" s="29">
        <f>SUM(Contracts!H5:H24)</f>
        <v/>
      </c>
      <c r="D5" s="29">
        <f>SUM(Contracts!I5:I24)</f>
        <v/>
      </c>
      <c r="G5" s="29">
        <f>SUM(Contracts!J5:J24)</f>
        <v/>
      </c>
      <c r="J5" s="29">
        <f>SUM(Contracts!L5:L24)</f>
        <v/>
      </c>
    </row>
    <row r="8">
      <c r="A8" s="30" t="inlineStr">
        <is>
          <t>INTERACTIVE FILTER PANEL</t>
        </is>
      </c>
    </row>
    <row r="9">
      <c r="A9" s="19" t="inlineStr">
        <is>
          <t>Customer</t>
        </is>
      </c>
      <c r="D9" s="19" t="inlineStr">
        <is>
          <t>Article</t>
        </is>
      </c>
      <c r="G9" s="19" t="inlineStr">
        <is>
          <t>Status</t>
        </is>
      </c>
      <c r="J9" s="19" t="inlineStr">
        <is>
          <t>Fabric</t>
        </is>
      </c>
    </row>
    <row r="10">
      <c r="A10" s="20" t="inlineStr">
        <is>
          <t>All</t>
        </is>
      </c>
      <c r="D10" s="20" t="inlineStr">
        <is>
          <t>All</t>
        </is>
      </c>
      <c r="G10" s="20" t="inlineStr">
        <is>
          <t>All</t>
        </is>
      </c>
      <c r="J10" s="20" t="inlineStr">
        <is>
          <t>All</t>
        </is>
      </c>
    </row>
    <row r="30">
      <c r="A30" s="31" t="inlineStr">
        <is>
          <t>Corporate note: Excel-native PivotTable/Slicer objects cannot be authored by openpyxl itself; this workbook includes Excel Tables, formula-driven Pivot Analysis, native dropdown filter controls, and Pivot Charts as a compatible corporate dashboard.</t>
        </is>
      </c>
    </row>
    <row r="31"/>
  </sheetData>
  <mergeCells count="11">
    <mergeCell ref="A4:B4"/>
    <mergeCell ref="G4:H4"/>
    <mergeCell ref="A2:L2"/>
    <mergeCell ref="J4:K4"/>
    <mergeCell ref="J5:K5"/>
    <mergeCell ref="A1:L1"/>
    <mergeCell ref="D5:E5"/>
    <mergeCell ref="A5:B5"/>
    <mergeCell ref="G5:H5"/>
    <mergeCell ref="D4:E4"/>
    <mergeCell ref="A30:L31"/>
  </mergeCells>
  <dataValidations count="4">
    <dataValidation sqref="A10" showDropDown="0" showInputMessage="0" showErrorMessage="0" allowBlank="0" type="list">
      <formula1>"All,Customer A,Customer B,Customer C,Customer D,Customer E"</formula1>
    </dataValidation>
    <dataValidation sqref="D10" showDropDown="0" showInputMessage="0" showErrorMessage="0" allowBlank="0" type="list">
      <formula1>"All,40s PC,60s PC,30s CVC,20s Cotton,50s PC"</formula1>
    </dataValidation>
    <dataValidation sqref="G10" showDropDown="0" showInputMessage="0" showErrorMessage="0" allowBlank="0" type="list">
      <formula1>"All,On Track,Pending,Completed"</formula1>
    </dataValidation>
    <dataValidation sqref="J10" showDropDown="0" showInputMessage="0" showErrorMessage="0" allowBlank="0" type="list">
      <formula1>"All,Grey / Woven Fabric"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0" customWidth="1" min="7" max="7"/>
    <col width="16" customWidth="1" min="8" max="8"/>
    <col width="13" customWidth="1" min="9" max="9"/>
    <col width="11" customWidth="1" min="10" max="10"/>
    <col width="10" customWidth="1" min="11" max="11"/>
    <col width="20" customWidth="1" min="12" max="12"/>
    <col width="15" customWidth="1" min="13" max="13"/>
    <col width="17" customWidth="1" min="14" max="14"/>
  </cols>
  <sheetData>
    <row r="1" ht="30" customHeight="1">
      <c r="A1" s="1" t="inlineStr">
        <is>
          <t>WEAVING DEPARTMENT | CONTRACT REGISTER</t>
        </is>
      </c>
    </row>
    <row r="2" ht="22" customHeight="1">
      <c r="A2" s="2" t="inlineStr">
        <is>
          <t>Illustrative contract register with formula-driven pending quantity, value and margin.</t>
        </is>
      </c>
    </row>
    <row r="4">
      <c r="A4" s="8" t="inlineStr">
        <is>
          <t>Contract ID</t>
        </is>
      </c>
      <c r="B4" s="8" t="inlineStr">
        <is>
          <t>Start Date</t>
        </is>
      </c>
      <c r="C4" s="8" t="inlineStr">
        <is>
          <t>Due Date</t>
        </is>
      </c>
      <c r="D4" s="8" t="inlineStr">
        <is>
          <t>Customer</t>
        </is>
      </c>
      <c r="E4" s="8" t="inlineStr">
        <is>
          <t>Article</t>
        </is>
      </c>
      <c r="F4" s="8" t="inlineStr">
        <is>
          <t>Fabric Type</t>
        </is>
      </c>
      <c r="G4" s="8" t="inlineStr">
        <is>
          <t>UOM</t>
        </is>
      </c>
      <c r="H4" s="8" t="inlineStr">
        <is>
          <t>Contract Qty M</t>
        </is>
      </c>
      <c r="I4" s="8" t="inlineStr">
        <is>
          <t>Delivered M</t>
        </is>
      </c>
      <c r="J4" s="8" t="inlineStr">
        <is>
          <t>Pending M</t>
        </is>
      </c>
      <c r="K4" s="8" t="inlineStr">
        <is>
          <t>Rate/M</t>
        </is>
      </c>
      <c r="L4" s="8" t="inlineStr">
        <is>
          <t>Contract Value PKR</t>
        </is>
      </c>
      <c r="M4" s="8" t="inlineStr">
        <is>
          <t>Est. Cost PKR</t>
        </is>
      </c>
      <c r="N4" s="8" t="inlineStr">
        <is>
          <t>Est. Margin PKR</t>
        </is>
      </c>
    </row>
    <row r="5">
      <c r="A5" s="9" t="inlineStr">
        <is>
          <t>CTR-2026001</t>
        </is>
      </c>
      <c r="B5" s="24" t="n">
        <v>46023</v>
      </c>
      <c r="C5" s="24" t="n">
        <v>46095</v>
      </c>
      <c r="D5" s="9" t="inlineStr">
        <is>
          <t>Customer A</t>
        </is>
      </c>
      <c r="E5" s="9" t="inlineStr">
        <is>
          <t>40s PC</t>
        </is>
      </c>
      <c r="F5" s="9" t="inlineStr">
        <is>
          <t>Grey / Woven Fabric</t>
        </is>
      </c>
      <c r="G5" s="9" t="inlineStr">
        <is>
          <t>M</t>
        </is>
      </c>
      <c r="H5" s="9" t="n">
        <v>112296</v>
      </c>
      <c r="I5" s="9" t="n">
        <v>92063</v>
      </c>
      <c r="J5" s="9">
        <f>H5-I5</f>
        <v/>
      </c>
      <c r="K5" s="12" t="n">
        <v>166</v>
      </c>
      <c r="L5" s="12">
        <f>H5*K5</f>
        <v/>
      </c>
      <c r="M5" s="12">
        <f>H5*143</f>
        <v/>
      </c>
      <c r="N5" s="12">
        <f>L5-M5</f>
        <v/>
      </c>
    </row>
    <row r="6">
      <c r="A6" s="9" t="inlineStr">
        <is>
          <t>CTR-2026002</t>
        </is>
      </c>
      <c r="B6" s="24" t="n">
        <v>46029</v>
      </c>
      <c r="C6" s="24" t="n">
        <v>46092</v>
      </c>
      <c r="D6" s="9" t="inlineStr">
        <is>
          <t>Customer B</t>
        </is>
      </c>
      <c r="E6" s="9" t="inlineStr">
        <is>
          <t>60s PC</t>
        </is>
      </c>
      <c r="F6" s="9" t="inlineStr">
        <is>
          <t>Grey / Woven Fabric</t>
        </is>
      </c>
      <c r="G6" s="9" t="inlineStr">
        <is>
          <t>M</t>
        </is>
      </c>
      <c r="H6" s="9" t="n">
        <v>129507</v>
      </c>
      <c r="I6" s="9" t="n">
        <v>75461</v>
      </c>
      <c r="J6" s="9">
        <f>H6-I6</f>
        <v/>
      </c>
      <c r="K6" s="12" t="n">
        <v>172</v>
      </c>
      <c r="L6" s="12">
        <f>H6*K6</f>
        <v/>
      </c>
      <c r="M6" s="12">
        <f>H6*140</f>
        <v/>
      </c>
      <c r="N6" s="12">
        <f>L6-M6</f>
        <v/>
      </c>
    </row>
    <row r="7">
      <c r="A7" s="9" t="inlineStr">
        <is>
          <t>CTR-2026003</t>
        </is>
      </c>
      <c r="B7" s="24" t="n">
        <v>46035</v>
      </c>
      <c r="C7" s="24" t="n">
        <v>46109</v>
      </c>
      <c r="D7" s="9" t="inlineStr">
        <is>
          <t>Customer C</t>
        </is>
      </c>
      <c r="E7" s="9" t="inlineStr">
        <is>
          <t>30s CVC</t>
        </is>
      </c>
      <c r="F7" s="9" t="inlineStr">
        <is>
          <t>Grey / Woven Fabric</t>
        </is>
      </c>
      <c r="G7" s="9" t="inlineStr">
        <is>
          <t>M</t>
        </is>
      </c>
      <c r="H7" s="9" t="n">
        <v>76365</v>
      </c>
      <c r="I7" s="9" t="n">
        <v>66723</v>
      </c>
      <c r="J7" s="9">
        <f>H7-I7</f>
        <v/>
      </c>
      <c r="K7" s="12" t="n">
        <v>184</v>
      </c>
      <c r="L7" s="12">
        <f>H7*K7</f>
        <v/>
      </c>
      <c r="M7" s="12">
        <f>H7*157</f>
        <v/>
      </c>
      <c r="N7" s="12">
        <f>L7-M7</f>
        <v/>
      </c>
    </row>
    <row r="8">
      <c r="A8" s="9" t="inlineStr">
        <is>
          <t>CTR-2026004</t>
        </is>
      </c>
      <c r="B8" s="24" t="n">
        <v>46041</v>
      </c>
      <c r="C8" s="24" t="n">
        <v>46113</v>
      </c>
      <c r="D8" s="9" t="inlineStr">
        <is>
          <t>Customer D</t>
        </is>
      </c>
      <c r="E8" s="9" t="inlineStr">
        <is>
          <t>20s Cotton</t>
        </is>
      </c>
      <c r="F8" s="9" t="inlineStr">
        <is>
          <t>Grey / Woven Fabric</t>
        </is>
      </c>
      <c r="G8" s="9" t="inlineStr">
        <is>
          <t>M</t>
        </is>
      </c>
      <c r="H8" s="9" t="n">
        <v>135180</v>
      </c>
      <c r="I8" s="9" t="n">
        <v>68944</v>
      </c>
      <c r="J8" s="9">
        <f>H8-I8</f>
        <v/>
      </c>
      <c r="K8" s="12" t="n">
        <v>201</v>
      </c>
      <c r="L8" s="12">
        <f>H8*K8</f>
        <v/>
      </c>
      <c r="M8" s="12">
        <f>H8*170</f>
        <v/>
      </c>
      <c r="N8" s="12">
        <f>L8-M8</f>
        <v/>
      </c>
    </row>
    <row r="9">
      <c r="A9" s="9" t="inlineStr">
        <is>
          <t>CTR-2026005</t>
        </is>
      </c>
      <c r="B9" s="24" t="n">
        <v>46047</v>
      </c>
      <c r="C9" s="24" t="n">
        <v>46105</v>
      </c>
      <c r="D9" s="9" t="inlineStr">
        <is>
          <t>Customer E</t>
        </is>
      </c>
      <c r="E9" s="9" t="inlineStr">
        <is>
          <t>50s PC</t>
        </is>
      </c>
      <c r="F9" s="9" t="inlineStr">
        <is>
          <t>Grey / Woven Fabric</t>
        </is>
      </c>
      <c r="G9" s="9" t="inlineStr">
        <is>
          <t>M</t>
        </is>
      </c>
      <c r="H9" s="9" t="n">
        <v>65860</v>
      </c>
      <c r="I9" s="9" t="n">
        <v>36246</v>
      </c>
      <c r="J9" s="9">
        <f>H9-I9</f>
        <v/>
      </c>
      <c r="K9" s="12" t="n">
        <v>173</v>
      </c>
      <c r="L9" s="12">
        <f>H9*K9</f>
        <v/>
      </c>
      <c r="M9" s="12">
        <f>H9*156</f>
        <v/>
      </c>
      <c r="N9" s="12">
        <f>L9-M9</f>
        <v/>
      </c>
    </row>
    <row r="10">
      <c r="A10" s="9" t="inlineStr">
        <is>
          <t>CTR-2026006</t>
        </is>
      </c>
      <c r="B10" s="24" t="n">
        <v>46053</v>
      </c>
      <c r="C10" s="24" t="n">
        <v>46104</v>
      </c>
      <c r="D10" s="9" t="inlineStr">
        <is>
          <t>Customer A</t>
        </is>
      </c>
      <c r="E10" s="9" t="inlineStr">
        <is>
          <t>40s PC</t>
        </is>
      </c>
      <c r="F10" s="9" t="inlineStr">
        <is>
          <t>Grey / Woven Fabric</t>
        </is>
      </c>
      <c r="G10" s="9" t="inlineStr">
        <is>
          <t>M</t>
        </is>
      </c>
      <c r="H10" s="9" t="n">
        <v>52757</v>
      </c>
      <c r="I10" s="9" t="n">
        <v>39277</v>
      </c>
      <c r="J10" s="9">
        <f>H10-I10</f>
        <v/>
      </c>
      <c r="K10" s="12" t="n">
        <v>215</v>
      </c>
      <c r="L10" s="12">
        <f>H10*K10</f>
        <v/>
      </c>
      <c r="M10" s="12">
        <f>H10*193</f>
        <v/>
      </c>
      <c r="N10" s="12">
        <f>L10-M10</f>
        <v/>
      </c>
    </row>
    <row r="11">
      <c r="A11" s="9" t="inlineStr">
        <is>
          <t>CTR-2026007</t>
        </is>
      </c>
      <c r="B11" s="24" t="n">
        <v>46059</v>
      </c>
      <c r="C11" s="24" t="n">
        <v>46126</v>
      </c>
      <c r="D11" s="9" t="inlineStr">
        <is>
          <t>Customer B</t>
        </is>
      </c>
      <c r="E11" s="9" t="inlineStr">
        <is>
          <t>60s PC</t>
        </is>
      </c>
      <c r="F11" s="9" t="inlineStr">
        <is>
          <t>Grey / Woven Fabric</t>
        </is>
      </c>
      <c r="G11" s="9" t="inlineStr">
        <is>
          <t>M</t>
        </is>
      </c>
      <c r="H11" s="9" t="n">
        <v>78864</v>
      </c>
      <c r="I11" s="9" t="n">
        <v>20471</v>
      </c>
      <c r="J11" s="9">
        <f>H11-I11</f>
        <v/>
      </c>
      <c r="K11" s="12" t="n">
        <v>154</v>
      </c>
      <c r="L11" s="12">
        <f>H11*K11</f>
        <v/>
      </c>
      <c r="M11" s="12">
        <f>H11*119</f>
        <v/>
      </c>
      <c r="N11" s="12">
        <f>L11-M11</f>
        <v/>
      </c>
    </row>
    <row r="12">
      <c r="A12" s="9" t="inlineStr">
        <is>
          <t>CTR-2026008</t>
        </is>
      </c>
      <c r="B12" s="24" t="n">
        <v>46065</v>
      </c>
      <c r="C12" s="24" t="n">
        <v>46098</v>
      </c>
      <c r="D12" s="9" t="inlineStr">
        <is>
          <t>Customer C</t>
        </is>
      </c>
      <c r="E12" s="9" t="inlineStr">
        <is>
          <t>30s CVC</t>
        </is>
      </c>
      <c r="F12" s="9" t="inlineStr">
        <is>
          <t>Grey / Woven Fabric</t>
        </is>
      </c>
      <c r="G12" s="9" t="inlineStr">
        <is>
          <t>M</t>
        </is>
      </c>
      <c r="H12" s="9" t="n">
        <v>80007</v>
      </c>
      <c r="I12" s="9" t="n">
        <v>24417</v>
      </c>
      <c r="J12" s="9">
        <f>H12-I12</f>
        <v/>
      </c>
      <c r="K12" s="12" t="n">
        <v>149</v>
      </c>
      <c r="L12" s="12">
        <f>H12*K12</f>
        <v/>
      </c>
      <c r="M12" s="12">
        <f>H12*124</f>
        <v/>
      </c>
      <c r="N12" s="12">
        <f>L12-M12</f>
        <v/>
      </c>
    </row>
    <row r="13">
      <c r="A13" s="9" t="inlineStr">
        <is>
          <t>CTR-2026009</t>
        </is>
      </c>
      <c r="B13" s="24" t="n">
        <v>46071</v>
      </c>
      <c r="C13" s="24" t="n">
        <v>46105</v>
      </c>
      <c r="D13" s="9" t="inlineStr">
        <is>
          <t>Customer D</t>
        </is>
      </c>
      <c r="E13" s="9" t="inlineStr">
        <is>
          <t>20s Cotton</t>
        </is>
      </c>
      <c r="F13" s="9" t="inlineStr">
        <is>
          <t>Grey / Woven Fabric</t>
        </is>
      </c>
      <c r="G13" s="9" t="inlineStr">
        <is>
          <t>M</t>
        </is>
      </c>
      <c r="H13" s="9" t="n">
        <v>117391</v>
      </c>
      <c r="I13" s="9" t="n">
        <v>51195</v>
      </c>
      <c r="J13" s="9">
        <f>H13-I13</f>
        <v/>
      </c>
      <c r="K13" s="12" t="n">
        <v>180</v>
      </c>
      <c r="L13" s="12">
        <f>H13*K13</f>
        <v/>
      </c>
      <c r="M13" s="12">
        <f>H13*150</f>
        <v/>
      </c>
      <c r="N13" s="12">
        <f>L13-M13</f>
        <v/>
      </c>
    </row>
    <row r="14">
      <c r="A14" s="9" t="inlineStr">
        <is>
          <t>CTR-2026010</t>
        </is>
      </c>
      <c r="B14" s="24" t="n">
        <v>46077</v>
      </c>
      <c r="C14" s="24" t="n">
        <v>46120</v>
      </c>
      <c r="D14" s="9" t="inlineStr">
        <is>
          <t>Customer E</t>
        </is>
      </c>
      <c r="E14" s="9" t="inlineStr">
        <is>
          <t>50s PC</t>
        </is>
      </c>
      <c r="F14" s="9" t="inlineStr">
        <is>
          <t>Grey / Woven Fabric</t>
        </is>
      </c>
      <c r="G14" s="9" t="inlineStr">
        <is>
          <t>M</t>
        </is>
      </c>
      <c r="H14" s="9" t="n">
        <v>120678</v>
      </c>
      <c r="I14" s="9" t="n">
        <v>37342</v>
      </c>
      <c r="J14" s="9">
        <f>H14-I14</f>
        <v/>
      </c>
      <c r="K14" s="12" t="n">
        <v>237</v>
      </c>
      <c r="L14" s="12">
        <f>H14*K14</f>
        <v/>
      </c>
      <c r="M14" s="12">
        <f>H14*204</f>
        <v/>
      </c>
      <c r="N14" s="12">
        <f>L14-M14</f>
        <v/>
      </c>
    </row>
    <row r="15">
      <c r="A15" s="9" t="inlineStr">
        <is>
          <t>CTR-2026011</t>
        </is>
      </c>
      <c r="B15" s="24" t="n">
        <v>46083</v>
      </c>
      <c r="C15" s="24" t="n">
        <v>46149</v>
      </c>
      <c r="D15" s="9" t="inlineStr">
        <is>
          <t>Customer A</t>
        </is>
      </c>
      <c r="E15" s="9" t="inlineStr">
        <is>
          <t>40s PC</t>
        </is>
      </c>
      <c r="F15" s="9" t="inlineStr">
        <is>
          <t>Grey / Woven Fabric</t>
        </is>
      </c>
      <c r="G15" s="9" t="inlineStr">
        <is>
          <t>M</t>
        </is>
      </c>
      <c r="H15" s="9" t="n">
        <v>111953</v>
      </c>
      <c r="I15" s="9" t="n">
        <v>51850</v>
      </c>
      <c r="J15" s="9">
        <f>H15-I15</f>
        <v/>
      </c>
      <c r="K15" s="12" t="n">
        <v>205</v>
      </c>
      <c r="L15" s="12">
        <f>H15*K15</f>
        <v/>
      </c>
      <c r="M15" s="12">
        <f>H15*177</f>
        <v/>
      </c>
      <c r="N15" s="12">
        <f>L15-M15</f>
        <v/>
      </c>
    </row>
    <row r="16">
      <c r="A16" s="9" t="inlineStr">
        <is>
          <t>CTR-2026012</t>
        </is>
      </c>
      <c r="B16" s="24" t="n">
        <v>46089</v>
      </c>
      <c r="C16" s="24" t="n">
        <v>46131</v>
      </c>
      <c r="D16" s="9" t="inlineStr">
        <is>
          <t>Customer B</t>
        </is>
      </c>
      <c r="E16" s="9" t="inlineStr">
        <is>
          <t>60s PC</t>
        </is>
      </c>
      <c r="F16" s="9" t="inlineStr">
        <is>
          <t>Grey / Woven Fabric</t>
        </is>
      </c>
      <c r="G16" s="9" t="inlineStr">
        <is>
          <t>M</t>
        </is>
      </c>
      <c r="H16" s="9" t="n">
        <v>62363</v>
      </c>
      <c r="I16" s="9" t="n">
        <v>26352</v>
      </c>
      <c r="J16" s="9">
        <f>H16-I16</f>
        <v/>
      </c>
      <c r="K16" s="12" t="n">
        <v>229</v>
      </c>
      <c r="L16" s="12">
        <f>H16*K16</f>
        <v/>
      </c>
      <c r="M16" s="12">
        <f>H16*201</f>
        <v/>
      </c>
      <c r="N16" s="12">
        <f>L16-M16</f>
        <v/>
      </c>
    </row>
    <row r="17">
      <c r="A17" s="9" t="inlineStr">
        <is>
          <t>CTR-2026013</t>
        </is>
      </c>
      <c r="B17" s="24" t="n">
        <v>46095</v>
      </c>
      <c r="C17" s="24" t="n">
        <v>46147</v>
      </c>
      <c r="D17" s="9" t="inlineStr">
        <is>
          <t>Customer C</t>
        </is>
      </c>
      <c r="E17" s="9" t="inlineStr">
        <is>
          <t>30s CVC</t>
        </is>
      </c>
      <c r="F17" s="9" t="inlineStr">
        <is>
          <t>Grey / Woven Fabric</t>
        </is>
      </c>
      <c r="G17" s="9" t="inlineStr">
        <is>
          <t>M</t>
        </is>
      </c>
      <c r="H17" s="9" t="n">
        <v>105519</v>
      </c>
      <c r="I17" s="9" t="n">
        <v>73883</v>
      </c>
      <c r="J17" s="9">
        <f>H17-I17</f>
        <v/>
      </c>
      <c r="K17" s="12" t="n">
        <v>204</v>
      </c>
      <c r="L17" s="12">
        <f>H17*K17</f>
        <v/>
      </c>
      <c r="M17" s="12">
        <f>H17*188</f>
        <v/>
      </c>
      <c r="N17" s="12">
        <f>L17-M17</f>
        <v/>
      </c>
    </row>
    <row r="18">
      <c r="A18" s="9" t="inlineStr">
        <is>
          <t>CTR-2026014</t>
        </is>
      </c>
      <c r="B18" s="24" t="n">
        <v>46101</v>
      </c>
      <c r="C18" s="24" t="n">
        <v>46174</v>
      </c>
      <c r="D18" s="9" t="inlineStr">
        <is>
          <t>Customer D</t>
        </is>
      </c>
      <c r="E18" s="9" t="inlineStr">
        <is>
          <t>20s Cotton</t>
        </is>
      </c>
      <c r="F18" s="9" t="inlineStr">
        <is>
          <t>Grey / Woven Fabric</t>
        </is>
      </c>
      <c r="G18" s="9" t="inlineStr">
        <is>
          <t>M</t>
        </is>
      </c>
      <c r="H18" s="9" t="n">
        <v>135649</v>
      </c>
      <c r="I18" s="9" t="n">
        <v>104696</v>
      </c>
      <c r="J18" s="9">
        <f>H18-I18</f>
        <v/>
      </c>
      <c r="K18" s="12" t="n">
        <v>157</v>
      </c>
      <c r="L18" s="12">
        <f>H18*K18</f>
        <v/>
      </c>
      <c r="M18" s="12">
        <f>H18*141</f>
        <v/>
      </c>
      <c r="N18" s="12">
        <f>L18-M18</f>
        <v/>
      </c>
    </row>
    <row r="19">
      <c r="A19" s="9" t="inlineStr">
        <is>
          <t>CTR-2026015</t>
        </is>
      </c>
      <c r="B19" s="24" t="n">
        <v>46107</v>
      </c>
      <c r="C19" s="24" t="n">
        <v>46162</v>
      </c>
      <c r="D19" s="9" t="inlineStr">
        <is>
          <t>Customer E</t>
        </is>
      </c>
      <c r="E19" s="9" t="inlineStr">
        <is>
          <t>50s PC</t>
        </is>
      </c>
      <c r="F19" s="9" t="inlineStr">
        <is>
          <t>Grey / Woven Fabric</t>
        </is>
      </c>
      <c r="G19" s="9" t="inlineStr">
        <is>
          <t>M</t>
        </is>
      </c>
      <c r="H19" s="9" t="n">
        <v>94473</v>
      </c>
      <c r="I19" s="9" t="n">
        <v>34322</v>
      </c>
      <c r="J19" s="9">
        <f>H19-I19</f>
        <v/>
      </c>
      <c r="K19" s="12" t="n">
        <v>176</v>
      </c>
      <c r="L19" s="12">
        <f>H19*K19</f>
        <v/>
      </c>
      <c r="M19" s="12">
        <f>H19*155</f>
        <v/>
      </c>
      <c r="N19" s="12">
        <f>L19-M19</f>
        <v/>
      </c>
    </row>
    <row r="20">
      <c r="A20" s="9" t="inlineStr">
        <is>
          <t>CTR-2026016</t>
        </is>
      </c>
      <c r="B20" s="24" t="n">
        <v>46113</v>
      </c>
      <c r="C20" s="24" t="n">
        <v>46155</v>
      </c>
      <c r="D20" s="9" t="inlineStr">
        <is>
          <t>Customer A</t>
        </is>
      </c>
      <c r="E20" s="9" t="inlineStr">
        <is>
          <t>40s PC</t>
        </is>
      </c>
      <c r="F20" s="9" t="inlineStr">
        <is>
          <t>Grey / Woven Fabric</t>
        </is>
      </c>
      <c r="G20" s="9" t="inlineStr">
        <is>
          <t>M</t>
        </is>
      </c>
      <c r="H20" s="9" t="n">
        <v>120292</v>
      </c>
      <c r="I20" s="9" t="n">
        <v>78800</v>
      </c>
      <c r="J20" s="9">
        <f>H20-I20</f>
        <v/>
      </c>
      <c r="K20" s="12" t="n">
        <v>162</v>
      </c>
      <c r="L20" s="12">
        <f>H20*K20</f>
        <v/>
      </c>
      <c r="M20" s="12">
        <f>H20*134</f>
        <v/>
      </c>
      <c r="N20" s="12">
        <f>L20-M20</f>
        <v/>
      </c>
    </row>
    <row r="21">
      <c r="A21" s="9" t="inlineStr">
        <is>
          <t>CTR-2026017</t>
        </is>
      </c>
      <c r="B21" s="24" t="n">
        <v>46119</v>
      </c>
      <c r="C21" s="24" t="n">
        <v>46160</v>
      </c>
      <c r="D21" s="9" t="inlineStr">
        <is>
          <t>Customer B</t>
        </is>
      </c>
      <c r="E21" s="9" t="inlineStr">
        <is>
          <t>60s PC</t>
        </is>
      </c>
      <c r="F21" s="9" t="inlineStr">
        <is>
          <t>Grey / Woven Fabric</t>
        </is>
      </c>
      <c r="G21" s="9" t="inlineStr">
        <is>
          <t>M</t>
        </is>
      </c>
      <c r="H21" s="9" t="n">
        <v>86509</v>
      </c>
      <c r="I21" s="9" t="n">
        <v>80637</v>
      </c>
      <c r="J21" s="9">
        <f>H21-I21</f>
        <v/>
      </c>
      <c r="K21" s="12" t="n">
        <v>176</v>
      </c>
      <c r="L21" s="12">
        <f>H21*K21</f>
        <v/>
      </c>
      <c r="M21" s="12">
        <f>H21*159</f>
        <v/>
      </c>
      <c r="N21" s="12">
        <f>L21-M21</f>
        <v/>
      </c>
    </row>
    <row r="22">
      <c r="A22" s="9" t="inlineStr">
        <is>
          <t>CTR-2026018</t>
        </is>
      </c>
      <c r="B22" s="24" t="n">
        <v>46125</v>
      </c>
      <c r="C22" s="24" t="n">
        <v>46183</v>
      </c>
      <c r="D22" s="9" t="inlineStr">
        <is>
          <t>Customer C</t>
        </is>
      </c>
      <c r="E22" s="9" t="inlineStr">
        <is>
          <t>30s CVC</t>
        </is>
      </c>
      <c r="F22" s="9" t="inlineStr">
        <is>
          <t>Grey / Woven Fabric</t>
        </is>
      </c>
      <c r="G22" s="9" t="inlineStr">
        <is>
          <t>M</t>
        </is>
      </c>
      <c r="H22" s="9" t="n">
        <v>122132</v>
      </c>
      <c r="I22" s="9" t="n">
        <v>32833</v>
      </c>
      <c r="J22" s="9">
        <f>H22-I22</f>
        <v/>
      </c>
      <c r="K22" s="12" t="n">
        <v>151</v>
      </c>
      <c r="L22" s="12">
        <f>H22*K22</f>
        <v/>
      </c>
      <c r="M22" s="12">
        <f>H22*116</f>
        <v/>
      </c>
      <c r="N22" s="12">
        <f>L22-M22</f>
        <v/>
      </c>
    </row>
    <row r="23">
      <c r="A23" s="9" t="inlineStr">
        <is>
          <t>CTR-2026019</t>
        </is>
      </c>
      <c r="B23" s="24" t="n">
        <v>46131</v>
      </c>
      <c r="C23" s="24" t="n">
        <v>46195</v>
      </c>
      <c r="D23" s="9" t="inlineStr">
        <is>
          <t>Customer D</t>
        </is>
      </c>
      <c r="E23" s="9" t="inlineStr">
        <is>
          <t>20s Cotton</t>
        </is>
      </c>
      <c r="F23" s="9" t="inlineStr">
        <is>
          <t>Grey / Woven Fabric</t>
        </is>
      </c>
      <c r="G23" s="9" t="inlineStr">
        <is>
          <t>M</t>
        </is>
      </c>
      <c r="H23" s="9" t="n">
        <v>51934</v>
      </c>
      <c r="I23" s="9" t="n">
        <v>51752</v>
      </c>
      <c r="J23" s="9">
        <f>H23-I23</f>
        <v/>
      </c>
      <c r="K23" s="12" t="n">
        <v>156</v>
      </c>
      <c r="L23" s="12">
        <f>H23*K23</f>
        <v/>
      </c>
      <c r="M23" s="12">
        <f>H23*134</f>
        <v/>
      </c>
      <c r="N23" s="12">
        <f>L23-M23</f>
        <v/>
      </c>
    </row>
    <row r="24">
      <c r="A24" s="9" t="inlineStr">
        <is>
          <t>CTR-2026020</t>
        </is>
      </c>
      <c r="B24" s="24" t="n">
        <v>46137</v>
      </c>
      <c r="C24" s="24" t="n">
        <v>46177</v>
      </c>
      <c r="D24" s="9" t="inlineStr">
        <is>
          <t>Customer E</t>
        </is>
      </c>
      <c r="E24" s="9" t="inlineStr">
        <is>
          <t>50s PC</t>
        </is>
      </c>
      <c r="F24" s="9" t="inlineStr">
        <is>
          <t>Grey / Woven Fabric</t>
        </is>
      </c>
      <c r="G24" s="9" t="inlineStr">
        <is>
          <t>M</t>
        </is>
      </c>
      <c r="H24" s="9" t="n">
        <v>103269</v>
      </c>
      <c r="I24" s="9" t="n">
        <v>83653</v>
      </c>
      <c r="J24" s="9">
        <f>H24-I24</f>
        <v/>
      </c>
      <c r="K24" s="12" t="n">
        <v>206</v>
      </c>
      <c r="L24" s="12">
        <f>H24*K24</f>
        <v/>
      </c>
      <c r="M24" s="12">
        <f>H24*185</f>
        <v/>
      </c>
      <c r="N24" s="12">
        <f>L24-M24</f>
        <v/>
      </c>
    </row>
  </sheetData>
  <mergeCells count="2">
    <mergeCell ref="A2:N2"/>
    <mergeCell ref="A1:N1"/>
  </mergeCells>
  <conditionalFormatting sqref="J5:J24">
    <cfRule type="colorScale" priority="1">
      <colorScale>
        <cfvo type="min"/>
        <cfvo type="percentile" val="50"/>
        <cfvo type="max"/>
        <color rgb="00E2F0D9"/>
        <color rgb="00FFF2CC"/>
        <color rgb="00F4CCCC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CONTRACT LOOKUP | XLOOKUP / INDEX-MATCH DEMO</t>
        </is>
      </c>
    </row>
    <row r="2" ht="22" customHeight="1">
      <c r="A2" s="2" t="inlineStr">
        <is>
          <t>Enter a Contract ID in B4 to retrieve key fields. Works as a practical Advanced Excel example.</t>
        </is>
      </c>
    </row>
    <row r="4">
      <c r="A4" s="13" t="inlineStr">
        <is>
          <t>Contract ID</t>
        </is>
      </c>
      <c r="B4" s="14" t="inlineStr">
        <is>
          <t>CTR-2026001</t>
        </is>
      </c>
    </row>
    <row r="6">
      <c r="A6" s="3" t="inlineStr">
        <is>
          <t>Customer</t>
        </is>
      </c>
      <c r="B6" s="15">
        <f>IFERROR(XLOOKUP($B$4,Contracts!$A$5:$A$24,Contracts!$D$5:$D$24),"Not Found")</f>
        <v/>
      </c>
    </row>
    <row r="7">
      <c r="A7" s="3" t="inlineStr">
        <is>
          <t>Article</t>
        </is>
      </c>
      <c r="B7" s="15">
        <f>IFERROR(XLOOKUP($B$4,Contracts!$A$5:$A$24,Contracts!$E$5:$E$24),"Not Found")</f>
        <v/>
      </c>
    </row>
    <row r="8">
      <c r="A8" s="3" t="inlineStr">
        <is>
          <t>Contract Qty M</t>
        </is>
      </c>
      <c r="B8" s="15">
        <f>IFERROR(XLOOKUP($B$4,Contracts!$A$5:$A$24,Contracts!$H$5:$H$24),0)</f>
        <v/>
      </c>
    </row>
    <row r="9">
      <c r="A9" s="3" t="inlineStr">
        <is>
          <t>Delivered M</t>
        </is>
      </c>
      <c r="B9" s="15">
        <f>IFERROR(XLOOKUP($B$4,Contracts!$A$5:$A$24,Contracts!$I$5:$I$24),0)</f>
        <v/>
      </c>
    </row>
    <row r="10">
      <c r="A10" s="3" t="inlineStr">
        <is>
          <t>Pending M</t>
        </is>
      </c>
      <c r="B10" s="15">
        <f>IFERROR(XLOOKUP($B$4,Contracts!$A$5:$A$24,Contracts!$J$5:$J$24),0)</f>
        <v/>
      </c>
    </row>
    <row r="11">
      <c r="A11" s="3" t="inlineStr">
        <is>
          <t>Contract Value PKR</t>
        </is>
      </c>
      <c r="B11" s="15">
        <f>IFERROR(XLOOKUP($B$4,Contracts!$A$5:$A$24,Contracts!$L$5:$L$24),0)</f>
        <v/>
      </c>
    </row>
    <row r="12">
      <c r="A12" s="3" t="inlineStr">
        <is>
          <t>Margin PKR</t>
        </is>
      </c>
      <c r="B12" s="15">
        <f>IFERROR(XLOOKUP($B$4,Contracts!$A$5:$A$24,Contracts!$N$5:$N$24),0)</f>
        <v/>
      </c>
    </row>
    <row r="15">
      <c r="A15" t="inlineStr">
        <is>
          <t>Compatibility note</t>
        </is>
      </c>
      <c r="B15" s="16" t="inlineStr">
        <is>
          <t>XLOOKUP is used for modern Excel; INDEX+MATCH can be substituted for older versions.</t>
        </is>
      </c>
    </row>
  </sheetData>
  <mergeCells count="3">
    <mergeCell ref="A2:F2"/>
    <mergeCell ref="B15:F15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5" t="inlineStr">
        <is>
          <t>PIVOT ANALYSIS</t>
        </is>
      </c>
    </row>
    <row r="2">
      <c r="A2" s="16" t="inlineStr">
        <is>
          <t>Management summary tables feeding the dashboard charts.</t>
        </is>
      </c>
    </row>
    <row r="3">
      <c r="A3" s="23" t="inlineStr">
        <is>
          <t>Customer</t>
        </is>
      </c>
      <c r="B3" s="23" t="inlineStr">
        <is>
          <t>Contracts</t>
        </is>
      </c>
      <c r="C3" s="23" t="inlineStr">
        <is>
          <t>Contract Qty M</t>
        </is>
      </c>
      <c r="D3" s="23" t="inlineStr">
        <is>
          <t>Delivered M</t>
        </is>
      </c>
      <c r="E3" s="23" t="inlineStr">
        <is>
          <t>Pending M</t>
        </is>
      </c>
      <c r="F3" s="23" t="inlineStr">
        <is>
          <t>Value PKR</t>
        </is>
      </c>
      <c r="G3" s="23" t="inlineStr">
        <is>
          <t>Margin PKR</t>
        </is>
      </c>
      <c r="H3" s="23" t="inlineStr">
        <is>
          <t>Completion %</t>
        </is>
      </c>
    </row>
    <row r="4">
      <c r="A4" s="15" t="inlineStr">
        <is>
          <t>Customer A</t>
        </is>
      </c>
      <c r="B4" s="15">
        <f>COUNTIFS(Contracts!D:D,A4)</f>
        <v/>
      </c>
      <c r="C4" s="15">
        <f>SUMIFS(Contracts!H:H,Contracts!D:D,A4)</f>
        <v/>
      </c>
      <c r="D4" s="15">
        <f>SUMIFS(Contracts!I:I,Contracts!D:D,A4)</f>
        <v/>
      </c>
      <c r="E4" s="15">
        <f>C4-D4</f>
        <v/>
      </c>
      <c r="F4" s="15">
        <f>SUMIFS(Contracts!L:L,Contracts!D:D,A4)</f>
        <v/>
      </c>
      <c r="G4" s="15">
        <f>SUMIFS(Contracts!N:N,Contracts!D:D,A4)</f>
        <v/>
      </c>
      <c r="H4" s="15">
        <f>IFERROR(D4/C4,0)</f>
        <v/>
      </c>
    </row>
    <row r="5">
      <c r="A5" s="15" t="inlineStr">
        <is>
          <t>Customer B</t>
        </is>
      </c>
      <c r="B5" s="15">
        <f>COUNTIFS(Contracts!D:D,A5)</f>
        <v/>
      </c>
      <c r="C5" s="15">
        <f>SUMIFS(Contracts!H:H,Contracts!D:D,A5)</f>
        <v/>
      </c>
      <c r="D5" s="15">
        <f>SUMIFS(Contracts!I:I,Contracts!D:D,A5)</f>
        <v/>
      </c>
      <c r="E5" s="15">
        <f>C5-D5</f>
        <v/>
      </c>
      <c r="F5" s="15">
        <f>SUMIFS(Contracts!L:L,Contracts!D:D,A5)</f>
        <v/>
      </c>
      <c r="G5" s="15">
        <f>SUMIFS(Contracts!N:N,Contracts!D:D,A5)</f>
        <v/>
      </c>
      <c r="H5" s="15">
        <f>IFERROR(D5/C5,0)</f>
        <v/>
      </c>
    </row>
    <row r="6">
      <c r="A6" s="15" t="inlineStr">
        <is>
          <t>Customer C</t>
        </is>
      </c>
      <c r="B6" s="15">
        <f>COUNTIFS(Contracts!D:D,A6)</f>
        <v/>
      </c>
      <c r="C6" s="15">
        <f>SUMIFS(Contracts!H:H,Contracts!D:D,A6)</f>
        <v/>
      </c>
      <c r="D6" s="15">
        <f>SUMIFS(Contracts!I:I,Contracts!D:D,A6)</f>
        <v/>
      </c>
      <c r="E6" s="15">
        <f>C6-D6</f>
        <v/>
      </c>
      <c r="F6" s="15">
        <f>SUMIFS(Contracts!L:L,Contracts!D:D,A6)</f>
        <v/>
      </c>
      <c r="G6" s="15">
        <f>SUMIFS(Contracts!N:N,Contracts!D:D,A6)</f>
        <v/>
      </c>
      <c r="H6" s="15">
        <f>IFERROR(D6/C6,0)</f>
        <v/>
      </c>
    </row>
    <row r="7">
      <c r="A7" s="15" t="inlineStr">
        <is>
          <t>Customer D</t>
        </is>
      </c>
      <c r="B7" s="15">
        <f>COUNTIFS(Contracts!D:D,A7)</f>
        <v/>
      </c>
      <c r="C7" s="15">
        <f>SUMIFS(Contracts!H:H,Contracts!D:D,A7)</f>
        <v/>
      </c>
      <c r="D7" s="15">
        <f>SUMIFS(Contracts!I:I,Contracts!D:D,A7)</f>
        <v/>
      </c>
      <c r="E7" s="15">
        <f>C7-D7</f>
        <v/>
      </c>
      <c r="F7" s="15">
        <f>SUMIFS(Contracts!L:L,Contracts!D:D,A7)</f>
        <v/>
      </c>
      <c r="G7" s="15">
        <f>SUMIFS(Contracts!N:N,Contracts!D:D,A7)</f>
        <v/>
      </c>
      <c r="H7" s="15">
        <f>IFERROR(D7/C7,0)</f>
        <v/>
      </c>
    </row>
    <row r="8">
      <c r="A8" s="15" t="inlineStr">
        <is>
          <t>Customer E</t>
        </is>
      </c>
      <c r="B8" s="15">
        <f>COUNTIFS(Contracts!D:D,A8)</f>
        <v/>
      </c>
      <c r="C8" s="15">
        <f>SUMIFS(Contracts!H:H,Contracts!D:D,A8)</f>
        <v/>
      </c>
      <c r="D8" s="15">
        <f>SUMIFS(Contracts!I:I,Contracts!D:D,A8)</f>
        <v/>
      </c>
      <c r="E8" s="15">
        <f>C8-D8</f>
        <v/>
      </c>
      <c r="F8" s="15">
        <f>SUMIFS(Contracts!L:L,Contracts!D:D,A8)</f>
        <v/>
      </c>
      <c r="G8" s="15">
        <f>SUMIFS(Contracts!N:N,Contracts!D:D,A8)</f>
        <v/>
      </c>
      <c r="H8" s="15">
        <f>IFERROR(D8/C8,0)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2026-09-15T13:29:50Z</dcterms:created>
  <dcterms:modified xmlns:dcterms="http://purl.org/dc/terms/" xmlns:xsi="http://www.w3.org/2001/XMLSchema-instance" xsi:type="dcterms:W3CDTF">2026-09-15T13:39:53Z</dcterms:modified>
</cp:coreProperties>
</file>