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ventory Data" sheetId="2" state="visible" r:id="rId2"/>
    <sheet xmlns:r="http://schemas.openxmlformats.org/officeDocument/2006/relationships" name="Stock Card" sheetId="3" state="visible" r:id="rId3"/>
    <sheet xmlns:r="http://schemas.openxmlformats.org/officeDocument/2006/relationships" name="Pivot Analysis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17365D"/>
    </font>
    <font>
      <b val="1"/>
      <color rgb="0017365D"/>
      <sz val="16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  <color rgb="0017365D"/>
      <sz val="12"/>
    </font>
    <font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5FB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2F75B5"/>
      </patternFill>
    </fill>
  </fills>
  <borders count="5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pivotButton="0" quotePrefix="0" xfId="0"/>
    <xf numFmtId="0" fontId="0" fillId="0" borderId="4" pivotButton="0" quotePrefix="0" xfId="0"/>
    <xf numFmtId="0" fontId="3" fillId="6" borderId="1" pivotButton="0" quotePrefix="0" xfId="0"/>
    <xf numFmtId="0" fontId="3" fillId="7" borderId="1" pivotButton="0" quotePrefix="0" xfId="0"/>
    <xf numFmtId="3" fontId="4" fillId="5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" fillId="3" borderId="0" pivotButton="0" quotePrefix="0" xfId="0"/>
    <xf numFmtId="0" fontId="5" fillId="8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0" fontId="5" fillId="8" borderId="1" pivotButton="0" quotePrefix="0" xfId="0"/>
    <xf numFmtId="164" fontId="0" fillId="0" borderId="1" applyAlignment="1" pivotButton="0" quotePrefix="0" xfId="0">
      <alignment vertical="center"/>
    </xf>
    <xf numFmtId="0" fontId="1" fillId="2" borderId="0" pivotButton="0" quotePrefix="0" xfId="0"/>
    <xf numFmtId="0" fontId="7" fillId="3" borderId="0" pivotButton="0" quotePrefix="0" xfId="0"/>
    <xf numFmtId="0" fontId="5" fillId="8" borderId="1" applyAlignment="1" pivotButton="0" quotePrefix="0" xfId="0">
      <alignment horizontal="center" wrapText="1"/>
    </xf>
    <xf numFmtId="0" fontId="3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3" fontId="4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Stock by Yarn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Analysis'!$A$4:$A$8</f>
            </numRef>
          </cat>
          <val>
            <numRef>
              <f>'Pivot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Receipts vs Issues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Analysis'!$A$4:$A$8</f>
            </numRef>
          </cat>
          <val>
            <numRef>
              <f>'Pivot Analysis'!$C$4:$C$8</f>
            </numRef>
          </val>
        </ser>
        <ser>
          <idx val="1"/>
          <order val="1"/>
          <tx>
            <strRef>
              <f>'Pivot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Analysis'!$A$4:$A$8</f>
            </numRef>
          </cat>
          <val>
            <numRef>
              <f>'Pivot Analysis'!$D$4:$D$8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12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ventoryData" displayName="InventoryData" ref="A4:L24" headerRowCount="1">
  <autoFilter ref="A4:L24"/>
  <tableColumns count="12">
    <tableColumn id="1" name="Date"/>
    <tableColumn id="2" name="Store"/>
    <tableColumn id="3" name="Yarn Count"/>
    <tableColumn id="4" name="Lot No."/>
    <tableColumn id="5" name="Supplier"/>
    <tableColumn id="6" name="Unit"/>
    <tableColumn id="7" name="Opening Kg"/>
    <tableColumn id="8" name="Receipt Kg"/>
    <tableColumn id="9" name="Issue Kg"/>
    <tableColumn id="10" name="Closing Kg"/>
    <tableColumn id="11" name="Avg Rate/Kg"/>
    <tableColumn id="12" name="Stock Value (PK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ockCard" displayName="StockCard" ref="A4:H9" headerRowCount="1">
  <autoFilter ref="A4:H9"/>
  <tableColumns count="8">
    <tableColumn id="1" name="Yarn Count"/>
    <tableColumn id="2" name="Total Opening"/>
    <tableColumn id="3" name="Total Receipt"/>
    <tableColumn id="4" name="Total Issue"/>
    <tableColumn id="5" name="Closing Balance"/>
    <tableColumn id="6" name="Avg Rate"/>
    <tableColumn id="7" name="Stock Value"/>
    <tableColumn id="8" name="Contro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ivotInventory" displayName="tblPivotInventory" ref="A3:F8" headerRowCount="1">
  <autoFilter ref="A3:F8"/>
  <tableColumns count="6">
    <tableColumn id="1" name="Yarn Count"/>
    <tableColumn id="2" name="Opening Kg"/>
    <tableColumn id="3" name="Receipts Kg"/>
    <tableColumn id="4" name="Issues Kg"/>
    <tableColumn id="5" name="Closing Kg"/>
    <tableColumn id="6" name="Stock Value PK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3" t="inlineStr">
        <is>
          <t>WEAVING DEPARTMENT | INVENTORY MANAGEMENT DASHBOARD</t>
        </is>
      </c>
    </row>
    <row r="2">
      <c r="A2" s="21" t="inlineStr">
        <is>
          <t>Corporate reporting pack • Source data + Pivot Analysis + Pivot Charts • Filter controls</t>
        </is>
      </c>
    </row>
    <row r="4">
      <c r="A4" s="15" t="inlineStr">
        <is>
          <t>Opening Kg</t>
        </is>
      </c>
      <c r="D4" s="15" t="inlineStr">
        <is>
          <t>Receipts Kg</t>
        </is>
      </c>
      <c r="G4" s="15" t="inlineStr">
        <is>
          <t>Issues Kg</t>
        </is>
      </c>
      <c r="J4" s="15" t="inlineStr">
        <is>
          <t>Stock Value PKR</t>
        </is>
      </c>
    </row>
    <row r="5">
      <c r="A5" s="27">
        <f>SUM('Inventory Data'!G5:G24)</f>
        <v/>
      </c>
      <c r="D5" s="27">
        <f>SUM('Inventory Data'!H5:H24)</f>
        <v/>
      </c>
      <c r="G5" s="27">
        <f>SUM('Inventory Data'!I5:I24)</f>
        <v/>
      </c>
      <c r="J5" s="27">
        <f>SUM('Inventory Data'!L5:L24)</f>
        <v/>
      </c>
    </row>
    <row r="8">
      <c r="A8" s="28" t="inlineStr">
        <is>
          <t>INTERACTIVE FILTER PANEL</t>
        </is>
      </c>
    </row>
    <row r="9">
      <c r="A9" s="15" t="inlineStr">
        <is>
          <t>Yarn Count</t>
        </is>
      </c>
      <c r="D9" s="15" t="inlineStr">
        <is>
          <t>Supplier</t>
        </is>
      </c>
      <c r="G9" s="15" t="inlineStr">
        <is>
          <t>Store</t>
        </is>
      </c>
      <c r="J9" s="15" t="inlineStr">
        <is>
          <t>Stock Status</t>
        </is>
      </c>
    </row>
    <row r="10">
      <c r="A10" s="16" t="inlineStr">
        <is>
          <t>All</t>
        </is>
      </c>
      <c r="D10" s="16" t="inlineStr">
        <is>
          <t>All</t>
        </is>
      </c>
      <c r="G10" s="16" t="inlineStr">
        <is>
          <t>All</t>
        </is>
      </c>
      <c r="J10" s="16" t="inlineStr">
        <is>
          <t>All</t>
        </is>
      </c>
    </row>
    <row r="30">
      <c r="A30" s="29" t="inlineStr">
        <is>
          <t>Corporate note: Excel-native PivotTable/Slicer objects cannot be authored by openpyxl itself; this workbook includes Excel Tables, formula-driven Pivot Analysis, native dropdown filter controls, and Pivot Charts as a compatible corporate dashboard.</t>
        </is>
      </c>
    </row>
    <row r="31"/>
  </sheetData>
  <mergeCells count="11">
    <mergeCell ref="A4:B4"/>
    <mergeCell ref="G4:H4"/>
    <mergeCell ref="A2:L2"/>
    <mergeCell ref="J4:K4"/>
    <mergeCell ref="J5:K5"/>
    <mergeCell ref="A1:L1"/>
    <mergeCell ref="D5:E5"/>
    <mergeCell ref="A5:B5"/>
    <mergeCell ref="G5:H5"/>
    <mergeCell ref="D4:E4"/>
    <mergeCell ref="A30:L31"/>
  </mergeCells>
  <dataValidations count="4">
    <dataValidation sqref="A10" showDropDown="0" showInputMessage="0" showErrorMessage="0" allowBlank="0" type="list">
      <formula1>"All,20s,30s,40s,50s,60s"</formula1>
    </dataValidation>
    <dataValidation sqref="D10" showDropDown="0" showInputMessage="0" showErrorMessage="0" allowBlank="0" type="list">
      <formula1>"All,Supplier A,Supplier B,Supplier C,Supplier D"</formula1>
    </dataValidation>
    <dataValidation sqref="G10" showDropDown="0" showInputMessage="0" showErrorMessage="0" allowBlank="0" type="list">
      <formula1>"All,Grey Yarn Store"</formula1>
    </dataValidation>
    <dataValidation sqref="J10" showDropDown="0" showInputMessage="0" showErrorMessage="0" allowBlank="0" type="list">
      <formula1>"All,Normal,Reorder"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4" customWidth="1" min="10" max="10"/>
    <col width="13" customWidth="1" min="11" max="11"/>
    <col width="19" customWidth="1" min="12" max="12"/>
  </cols>
  <sheetData>
    <row r="1" ht="30" customHeight="1">
      <c r="A1" s="1" t="inlineStr">
        <is>
          <t>GREY YARN | INVENTORY MOVEMENT &amp; VALUATION</t>
        </is>
      </c>
    </row>
    <row r="2" ht="22" customHeight="1">
      <c r="A2" s="2" t="inlineStr">
        <is>
          <t>Illustrative stock ledger. Formulas calculate closing quantity and stock valuation.</t>
        </is>
      </c>
    </row>
    <row r="4">
      <c r="A4" s="8" t="inlineStr">
        <is>
          <t>Date</t>
        </is>
      </c>
      <c r="B4" s="8" t="inlineStr">
        <is>
          <t>Store</t>
        </is>
      </c>
      <c r="C4" s="8" t="inlineStr">
        <is>
          <t>Yarn Count</t>
        </is>
      </c>
      <c r="D4" s="8" t="inlineStr">
        <is>
          <t>Lot No.</t>
        </is>
      </c>
      <c r="E4" s="8" t="inlineStr">
        <is>
          <t>Supplier</t>
        </is>
      </c>
      <c r="F4" s="8" t="inlineStr">
        <is>
          <t>Unit</t>
        </is>
      </c>
      <c r="G4" s="8" t="inlineStr">
        <is>
          <t>Opening Kg</t>
        </is>
      </c>
      <c r="H4" s="8" t="inlineStr">
        <is>
          <t>Receipt Kg</t>
        </is>
      </c>
      <c r="I4" s="8" t="inlineStr">
        <is>
          <t>Issue Kg</t>
        </is>
      </c>
      <c r="J4" s="8" t="inlineStr">
        <is>
          <t>Closing Kg</t>
        </is>
      </c>
      <c r="K4" s="8" t="inlineStr">
        <is>
          <t>Avg Rate/Kg</t>
        </is>
      </c>
      <c r="L4" s="8" t="inlineStr">
        <is>
          <t>Stock Value (PKR)</t>
        </is>
      </c>
    </row>
    <row r="5">
      <c r="A5" s="19" t="n">
        <v>46023</v>
      </c>
      <c r="B5" s="9" t="inlineStr">
        <is>
          <t>Grey Yarn Store</t>
        </is>
      </c>
      <c r="C5" s="9" t="inlineStr">
        <is>
          <t>20s</t>
        </is>
      </c>
      <c r="D5" s="9" t="inlineStr">
        <is>
          <t>LOT-105</t>
        </is>
      </c>
      <c r="E5" s="9" t="inlineStr">
        <is>
          <t>Supplier A</t>
        </is>
      </c>
      <c r="F5" s="9" t="inlineStr">
        <is>
          <t>Kg</t>
        </is>
      </c>
      <c r="G5" s="9" t="n">
        <v>4133</v>
      </c>
      <c r="H5" s="9" t="n">
        <v>3087</v>
      </c>
      <c r="I5" s="9" t="n">
        <v>2821</v>
      </c>
      <c r="J5" s="9">
        <f>G5+H5-I5</f>
        <v/>
      </c>
      <c r="K5" s="10" t="n">
        <v>433</v>
      </c>
      <c r="L5" s="11">
        <f>J5*K5</f>
        <v/>
      </c>
    </row>
    <row r="6">
      <c r="A6" s="19" t="n">
        <v>46024</v>
      </c>
      <c r="B6" s="9" t="inlineStr">
        <is>
          <t>Grey Yarn Store</t>
        </is>
      </c>
      <c r="C6" s="9" t="inlineStr">
        <is>
          <t>30s</t>
        </is>
      </c>
      <c r="D6" s="9" t="inlineStr">
        <is>
          <t>LOT-106</t>
        </is>
      </c>
      <c r="E6" s="9" t="inlineStr">
        <is>
          <t>Supplier B</t>
        </is>
      </c>
      <c r="F6" s="9" t="inlineStr">
        <is>
          <t>Kg</t>
        </is>
      </c>
      <c r="G6" s="9" t="n">
        <v>3385</v>
      </c>
      <c r="H6" s="9" t="n">
        <v>4527</v>
      </c>
      <c r="I6" s="9" t="n">
        <v>1249</v>
      </c>
      <c r="J6" s="9">
        <f>G6+H6-I6</f>
        <v/>
      </c>
      <c r="K6" s="10" t="n">
        <v>449</v>
      </c>
      <c r="L6" s="11">
        <f>J6*K6</f>
        <v/>
      </c>
    </row>
    <row r="7">
      <c r="A7" s="19" t="n">
        <v>46025</v>
      </c>
      <c r="B7" s="9" t="inlineStr">
        <is>
          <t>Grey Yarn Store</t>
        </is>
      </c>
      <c r="C7" s="9" t="inlineStr">
        <is>
          <t>40s</t>
        </is>
      </c>
      <c r="D7" s="9" t="inlineStr">
        <is>
          <t>LOT-107</t>
        </is>
      </c>
      <c r="E7" s="9" t="inlineStr">
        <is>
          <t>Supplier C</t>
        </is>
      </c>
      <c r="F7" s="9" t="inlineStr">
        <is>
          <t>Kg</t>
        </is>
      </c>
      <c r="G7" s="9" t="n">
        <v>8140</v>
      </c>
      <c r="H7" s="9" t="n">
        <v>1655</v>
      </c>
      <c r="I7" s="9" t="n">
        <v>4044</v>
      </c>
      <c r="J7" s="9">
        <f>G7+H7-I7</f>
        <v/>
      </c>
      <c r="K7" s="10" t="n">
        <v>518</v>
      </c>
      <c r="L7" s="11">
        <f>J7*K7</f>
        <v/>
      </c>
    </row>
    <row r="8">
      <c r="A8" s="19" t="n">
        <v>46026</v>
      </c>
      <c r="B8" s="9" t="inlineStr">
        <is>
          <t>Grey Yarn Store</t>
        </is>
      </c>
      <c r="C8" s="9" t="inlineStr">
        <is>
          <t>50s</t>
        </is>
      </c>
      <c r="D8" s="9" t="inlineStr">
        <is>
          <t>LOT-108</t>
        </is>
      </c>
      <c r="E8" s="9" t="inlineStr">
        <is>
          <t>Supplier D</t>
        </is>
      </c>
      <c r="F8" s="9" t="inlineStr">
        <is>
          <t>Kg</t>
        </is>
      </c>
      <c r="G8" s="9" t="n">
        <v>7885</v>
      </c>
      <c r="H8" s="9" t="n">
        <v>1260</v>
      </c>
      <c r="I8" s="9" t="n">
        <v>2376</v>
      </c>
      <c r="J8" s="9">
        <f>G8+H8-I8</f>
        <v/>
      </c>
      <c r="K8" s="10" t="n">
        <v>507</v>
      </c>
      <c r="L8" s="11">
        <f>J8*K8</f>
        <v/>
      </c>
    </row>
    <row r="9">
      <c r="A9" s="19" t="n">
        <v>46027</v>
      </c>
      <c r="B9" s="9" t="inlineStr">
        <is>
          <t>Grey Yarn Store</t>
        </is>
      </c>
      <c r="C9" s="9" t="inlineStr">
        <is>
          <t>60s</t>
        </is>
      </c>
      <c r="D9" s="9" t="inlineStr">
        <is>
          <t>LOT-109</t>
        </is>
      </c>
      <c r="E9" s="9" t="inlineStr">
        <is>
          <t>Supplier A</t>
        </is>
      </c>
      <c r="F9" s="9" t="inlineStr">
        <is>
          <t>Kg</t>
        </is>
      </c>
      <c r="G9" s="9" t="n">
        <v>7881</v>
      </c>
      <c r="H9" s="9" t="n">
        <v>2917</v>
      </c>
      <c r="I9" s="9" t="n">
        <v>2967</v>
      </c>
      <c r="J9" s="9">
        <f>G9+H9-I9</f>
        <v/>
      </c>
      <c r="K9" s="10" t="n">
        <v>474</v>
      </c>
      <c r="L9" s="11">
        <f>J9*K9</f>
        <v/>
      </c>
    </row>
    <row r="10">
      <c r="A10" s="19" t="n">
        <v>46028</v>
      </c>
      <c r="B10" s="9" t="inlineStr">
        <is>
          <t>Grey Yarn Store</t>
        </is>
      </c>
      <c r="C10" s="9" t="inlineStr">
        <is>
          <t>20s</t>
        </is>
      </c>
      <c r="D10" s="9" t="inlineStr">
        <is>
          <t>LOT-110</t>
        </is>
      </c>
      <c r="E10" s="9" t="inlineStr">
        <is>
          <t>Supplier B</t>
        </is>
      </c>
      <c r="F10" s="9" t="inlineStr">
        <is>
          <t>Kg</t>
        </is>
      </c>
      <c r="G10" s="9" t="n">
        <v>7532</v>
      </c>
      <c r="H10" s="9" t="n">
        <v>4525</v>
      </c>
      <c r="I10" s="9" t="n">
        <v>847</v>
      </c>
      <c r="J10" s="9">
        <f>G10+H10-I10</f>
        <v/>
      </c>
      <c r="K10" s="10" t="n">
        <v>439</v>
      </c>
      <c r="L10" s="11">
        <f>J10*K10</f>
        <v/>
      </c>
    </row>
    <row r="11">
      <c r="A11" s="19" t="n">
        <v>46029</v>
      </c>
      <c r="B11" s="9" t="inlineStr">
        <is>
          <t>Grey Yarn Store</t>
        </is>
      </c>
      <c r="C11" s="9" t="inlineStr">
        <is>
          <t>30s</t>
        </is>
      </c>
      <c r="D11" s="9" t="inlineStr">
        <is>
          <t>LOT-111</t>
        </is>
      </c>
      <c r="E11" s="9" t="inlineStr">
        <is>
          <t>Supplier C</t>
        </is>
      </c>
      <c r="F11" s="9" t="inlineStr">
        <is>
          <t>Kg</t>
        </is>
      </c>
      <c r="G11" s="9" t="n">
        <v>8584</v>
      </c>
      <c r="H11" s="9" t="n">
        <v>4624</v>
      </c>
      <c r="I11" s="9" t="n">
        <v>2999</v>
      </c>
      <c r="J11" s="9">
        <f>G11+H11-I11</f>
        <v/>
      </c>
      <c r="K11" s="10" t="n">
        <v>478</v>
      </c>
      <c r="L11" s="11">
        <f>J11*K11</f>
        <v/>
      </c>
    </row>
    <row r="12">
      <c r="A12" s="19" t="n">
        <v>46030</v>
      </c>
      <c r="B12" s="9" t="inlineStr">
        <is>
          <t>Grey Yarn Store</t>
        </is>
      </c>
      <c r="C12" s="9" t="inlineStr">
        <is>
          <t>40s</t>
        </is>
      </c>
      <c r="D12" s="9" t="inlineStr">
        <is>
          <t>LOT-112</t>
        </is>
      </c>
      <c r="E12" s="9" t="inlineStr">
        <is>
          <t>Supplier D</t>
        </is>
      </c>
      <c r="F12" s="9" t="inlineStr">
        <is>
          <t>Kg</t>
        </is>
      </c>
      <c r="G12" s="9" t="n">
        <v>8250</v>
      </c>
      <c r="H12" s="9" t="n">
        <v>2393</v>
      </c>
      <c r="I12" s="9" t="n">
        <v>1256</v>
      </c>
      <c r="J12" s="9">
        <f>G12+H12-I12</f>
        <v/>
      </c>
      <c r="K12" s="10" t="n">
        <v>485</v>
      </c>
      <c r="L12" s="11">
        <f>J12*K12</f>
        <v/>
      </c>
    </row>
    <row r="13">
      <c r="A13" s="19" t="n">
        <v>46031</v>
      </c>
      <c r="B13" s="9" t="inlineStr">
        <is>
          <t>Grey Yarn Store</t>
        </is>
      </c>
      <c r="C13" s="9" t="inlineStr">
        <is>
          <t>50s</t>
        </is>
      </c>
      <c r="D13" s="9" t="inlineStr">
        <is>
          <t>LOT-113</t>
        </is>
      </c>
      <c r="E13" s="9" t="inlineStr">
        <is>
          <t>Supplier A</t>
        </is>
      </c>
      <c r="F13" s="9" t="inlineStr">
        <is>
          <t>Kg</t>
        </is>
      </c>
      <c r="G13" s="9" t="n">
        <v>6561</v>
      </c>
      <c r="H13" s="9" t="n">
        <v>1647</v>
      </c>
      <c r="I13" s="9" t="n">
        <v>2658</v>
      </c>
      <c r="J13" s="9">
        <f>G13+H13-I13</f>
        <v/>
      </c>
      <c r="K13" s="10" t="n">
        <v>410</v>
      </c>
      <c r="L13" s="11">
        <f>J13*K13</f>
        <v/>
      </c>
    </row>
    <row r="14">
      <c r="A14" s="19" t="n">
        <v>46032</v>
      </c>
      <c r="B14" s="9" t="inlineStr">
        <is>
          <t>Grey Yarn Store</t>
        </is>
      </c>
      <c r="C14" s="9" t="inlineStr">
        <is>
          <t>60s</t>
        </is>
      </c>
      <c r="D14" s="9" t="inlineStr">
        <is>
          <t>LOT-114</t>
        </is>
      </c>
      <c r="E14" s="9" t="inlineStr">
        <is>
          <t>Supplier B</t>
        </is>
      </c>
      <c r="F14" s="9" t="inlineStr">
        <is>
          <t>Kg</t>
        </is>
      </c>
      <c r="G14" s="9" t="n">
        <v>8915</v>
      </c>
      <c r="H14" s="9" t="n">
        <v>4587</v>
      </c>
      <c r="I14" s="9" t="n">
        <v>3747</v>
      </c>
      <c r="J14" s="9">
        <f>G14+H14-I14</f>
        <v/>
      </c>
      <c r="K14" s="10" t="n">
        <v>477</v>
      </c>
      <c r="L14" s="11">
        <f>J14*K14</f>
        <v/>
      </c>
    </row>
    <row r="15">
      <c r="A15" s="19" t="n">
        <v>46033</v>
      </c>
      <c r="B15" s="9" t="inlineStr">
        <is>
          <t>Grey Yarn Store</t>
        </is>
      </c>
      <c r="C15" s="9" t="inlineStr">
        <is>
          <t>20s</t>
        </is>
      </c>
      <c r="D15" s="9" t="inlineStr">
        <is>
          <t>LOT-115</t>
        </is>
      </c>
      <c r="E15" s="9" t="inlineStr">
        <is>
          <t>Supplier C</t>
        </is>
      </c>
      <c r="F15" s="9" t="inlineStr">
        <is>
          <t>Kg</t>
        </is>
      </c>
      <c r="G15" s="9" t="n">
        <v>7100</v>
      </c>
      <c r="H15" s="9" t="n">
        <v>4120</v>
      </c>
      <c r="I15" s="9" t="n">
        <v>1531</v>
      </c>
      <c r="J15" s="9">
        <f>G15+H15-I15</f>
        <v/>
      </c>
      <c r="K15" s="10" t="n">
        <v>539</v>
      </c>
      <c r="L15" s="11">
        <f>J15*K15</f>
        <v/>
      </c>
    </row>
    <row r="16">
      <c r="A16" s="19" t="n">
        <v>46034</v>
      </c>
      <c r="B16" s="9" t="inlineStr">
        <is>
          <t>Grey Yarn Store</t>
        </is>
      </c>
      <c r="C16" s="9" t="inlineStr">
        <is>
          <t>30s</t>
        </is>
      </c>
      <c r="D16" s="9" t="inlineStr">
        <is>
          <t>LOT-116</t>
        </is>
      </c>
      <c r="E16" s="9" t="inlineStr">
        <is>
          <t>Supplier D</t>
        </is>
      </c>
      <c r="F16" s="9" t="inlineStr">
        <is>
          <t>Kg</t>
        </is>
      </c>
      <c r="G16" s="9" t="n">
        <v>3871</v>
      </c>
      <c r="H16" s="9" t="n">
        <v>4565</v>
      </c>
      <c r="I16" s="9" t="n">
        <v>3361</v>
      </c>
      <c r="J16" s="9">
        <f>G16+H16-I16</f>
        <v/>
      </c>
      <c r="K16" s="10" t="n">
        <v>486</v>
      </c>
      <c r="L16" s="11">
        <f>J16*K16</f>
        <v/>
      </c>
    </row>
    <row r="17">
      <c r="A17" s="19" t="n">
        <v>46035</v>
      </c>
      <c r="B17" s="9" t="inlineStr">
        <is>
          <t>Grey Yarn Store</t>
        </is>
      </c>
      <c r="C17" s="9" t="inlineStr">
        <is>
          <t>40s</t>
        </is>
      </c>
      <c r="D17" s="9" t="inlineStr">
        <is>
          <t>LOT-117</t>
        </is>
      </c>
      <c r="E17" s="9" t="inlineStr">
        <is>
          <t>Supplier A</t>
        </is>
      </c>
      <c r="F17" s="9" t="inlineStr">
        <is>
          <t>Kg</t>
        </is>
      </c>
      <c r="G17" s="9" t="n">
        <v>8234</v>
      </c>
      <c r="H17" s="9" t="n">
        <v>3079</v>
      </c>
      <c r="I17" s="9" t="n">
        <v>3294</v>
      </c>
      <c r="J17" s="9">
        <f>G17+H17-I17</f>
        <v/>
      </c>
      <c r="K17" s="10" t="n">
        <v>460</v>
      </c>
      <c r="L17" s="11">
        <f>J17*K17</f>
        <v/>
      </c>
    </row>
    <row r="18">
      <c r="A18" s="19" t="n">
        <v>46036</v>
      </c>
      <c r="B18" s="9" t="inlineStr">
        <is>
          <t>Grey Yarn Store</t>
        </is>
      </c>
      <c r="C18" s="9" t="inlineStr">
        <is>
          <t>50s</t>
        </is>
      </c>
      <c r="D18" s="9" t="inlineStr">
        <is>
          <t>LOT-118</t>
        </is>
      </c>
      <c r="E18" s="9" t="inlineStr">
        <is>
          <t>Supplier B</t>
        </is>
      </c>
      <c r="F18" s="9" t="inlineStr">
        <is>
          <t>Kg</t>
        </is>
      </c>
      <c r="G18" s="9" t="n">
        <v>4252</v>
      </c>
      <c r="H18" s="9" t="n">
        <v>2531</v>
      </c>
      <c r="I18" s="9" t="n">
        <v>3923</v>
      </c>
      <c r="J18" s="9">
        <f>G18+H18-I18</f>
        <v/>
      </c>
      <c r="K18" s="10" t="n">
        <v>451</v>
      </c>
      <c r="L18" s="11">
        <f>J18*K18</f>
        <v/>
      </c>
    </row>
    <row r="19">
      <c r="A19" s="19" t="n">
        <v>46037</v>
      </c>
      <c r="B19" s="9" t="inlineStr">
        <is>
          <t>Grey Yarn Store</t>
        </is>
      </c>
      <c r="C19" s="9" t="inlineStr">
        <is>
          <t>60s</t>
        </is>
      </c>
      <c r="D19" s="9" t="inlineStr">
        <is>
          <t>LOT-119</t>
        </is>
      </c>
      <c r="E19" s="9" t="inlineStr">
        <is>
          <t>Supplier C</t>
        </is>
      </c>
      <c r="F19" s="9" t="inlineStr">
        <is>
          <t>Kg</t>
        </is>
      </c>
      <c r="G19" s="9" t="n">
        <v>7418</v>
      </c>
      <c r="H19" s="9" t="n">
        <v>4905</v>
      </c>
      <c r="I19" s="9" t="n">
        <v>3989</v>
      </c>
      <c r="J19" s="9">
        <f>G19+H19-I19</f>
        <v/>
      </c>
      <c r="K19" s="10" t="n">
        <v>410</v>
      </c>
      <c r="L19" s="11">
        <f>J19*K19</f>
        <v/>
      </c>
    </row>
    <row r="20">
      <c r="A20" s="19" t="n">
        <v>46038</v>
      </c>
      <c r="B20" s="9" t="inlineStr">
        <is>
          <t>Grey Yarn Store</t>
        </is>
      </c>
      <c r="C20" s="9" t="inlineStr">
        <is>
          <t>20s</t>
        </is>
      </c>
      <c r="D20" s="9" t="inlineStr">
        <is>
          <t>LOT-120</t>
        </is>
      </c>
      <c r="E20" s="9" t="inlineStr">
        <is>
          <t>Supplier D</t>
        </is>
      </c>
      <c r="F20" s="9" t="inlineStr">
        <is>
          <t>Kg</t>
        </is>
      </c>
      <c r="G20" s="9" t="n">
        <v>7906</v>
      </c>
      <c r="H20" s="9" t="n">
        <v>2327</v>
      </c>
      <c r="I20" s="9" t="n">
        <v>2801</v>
      </c>
      <c r="J20" s="9">
        <f>G20+H20-I20</f>
        <v/>
      </c>
      <c r="K20" s="10" t="n">
        <v>414</v>
      </c>
      <c r="L20" s="11">
        <f>J20*K20</f>
        <v/>
      </c>
    </row>
    <row r="21">
      <c r="A21" s="19" t="n">
        <v>46039</v>
      </c>
      <c r="B21" s="9" t="inlineStr">
        <is>
          <t>Grey Yarn Store</t>
        </is>
      </c>
      <c r="C21" s="9" t="inlineStr">
        <is>
          <t>30s</t>
        </is>
      </c>
      <c r="D21" s="9" t="inlineStr">
        <is>
          <t>LOT-121</t>
        </is>
      </c>
      <c r="E21" s="9" t="inlineStr">
        <is>
          <t>Supplier A</t>
        </is>
      </c>
      <c r="F21" s="9" t="inlineStr">
        <is>
          <t>Kg</t>
        </is>
      </c>
      <c r="G21" s="9" t="n">
        <v>3916</v>
      </c>
      <c r="H21" s="9" t="n">
        <v>4805</v>
      </c>
      <c r="I21" s="9" t="n">
        <v>2286</v>
      </c>
      <c r="J21" s="9">
        <f>G21+H21-I21</f>
        <v/>
      </c>
      <c r="K21" s="10" t="n">
        <v>488</v>
      </c>
      <c r="L21" s="11">
        <f>J21*K21</f>
        <v/>
      </c>
    </row>
    <row r="22">
      <c r="A22" s="19" t="n">
        <v>46040</v>
      </c>
      <c r="B22" s="9" t="inlineStr">
        <is>
          <t>Grey Yarn Store</t>
        </is>
      </c>
      <c r="C22" s="9" t="inlineStr">
        <is>
          <t>40s</t>
        </is>
      </c>
      <c r="D22" s="9" t="inlineStr">
        <is>
          <t>LOT-122</t>
        </is>
      </c>
      <c r="E22" s="9" t="inlineStr">
        <is>
          <t>Supplier B</t>
        </is>
      </c>
      <c r="F22" s="9" t="inlineStr">
        <is>
          <t>Kg</t>
        </is>
      </c>
      <c r="G22" s="9" t="n">
        <v>4961</v>
      </c>
      <c r="H22" s="9" t="n">
        <v>1237</v>
      </c>
      <c r="I22" s="9" t="n">
        <v>1786</v>
      </c>
      <c r="J22" s="9">
        <f>G22+H22-I22</f>
        <v/>
      </c>
      <c r="K22" s="10" t="n">
        <v>430</v>
      </c>
      <c r="L22" s="11">
        <f>J22*K22</f>
        <v/>
      </c>
    </row>
    <row r="23">
      <c r="A23" s="19" t="n">
        <v>46041</v>
      </c>
      <c r="B23" s="9" t="inlineStr">
        <is>
          <t>Grey Yarn Store</t>
        </is>
      </c>
      <c r="C23" s="9" t="inlineStr">
        <is>
          <t>50s</t>
        </is>
      </c>
      <c r="D23" s="9" t="inlineStr">
        <is>
          <t>LOT-123</t>
        </is>
      </c>
      <c r="E23" s="9" t="inlineStr">
        <is>
          <t>Supplier C</t>
        </is>
      </c>
      <c r="F23" s="9" t="inlineStr">
        <is>
          <t>Kg</t>
        </is>
      </c>
      <c r="G23" s="9" t="n">
        <v>3701</v>
      </c>
      <c r="H23" s="9" t="n">
        <v>3997</v>
      </c>
      <c r="I23" s="9" t="n">
        <v>2790</v>
      </c>
      <c r="J23" s="9">
        <f>G23+H23-I23</f>
        <v/>
      </c>
      <c r="K23" s="10" t="n">
        <v>427</v>
      </c>
      <c r="L23" s="11">
        <f>J23*K23</f>
        <v/>
      </c>
    </row>
    <row r="24">
      <c r="A24" s="19" t="n">
        <v>46042</v>
      </c>
      <c r="B24" s="9" t="inlineStr">
        <is>
          <t>Grey Yarn Store</t>
        </is>
      </c>
      <c r="C24" s="9" t="inlineStr">
        <is>
          <t>60s</t>
        </is>
      </c>
      <c r="D24" s="9" t="inlineStr">
        <is>
          <t>LOT-124</t>
        </is>
      </c>
      <c r="E24" s="9" t="inlineStr">
        <is>
          <t>Supplier D</t>
        </is>
      </c>
      <c r="F24" s="9" t="inlineStr">
        <is>
          <t>Kg</t>
        </is>
      </c>
      <c r="G24" s="9" t="n">
        <v>7363</v>
      </c>
      <c r="H24" s="9" t="n">
        <v>4136</v>
      </c>
      <c r="I24" s="9" t="n">
        <v>1315</v>
      </c>
      <c r="J24" s="9">
        <f>G24+H24-I24</f>
        <v/>
      </c>
      <c r="K24" s="10" t="n">
        <v>442</v>
      </c>
      <c r="L24" s="11">
        <f>J24*K24</f>
        <v/>
      </c>
    </row>
  </sheetData>
  <mergeCells count="2">
    <mergeCell ref="A2:L2"/>
    <mergeCell ref="A1:L1"/>
  </mergeCells>
  <conditionalFormatting sqref="J5:J24">
    <cfRule type="colorScale" priority="1">
      <colorScale>
        <cfvo type="min"/>
        <cfvo type="percentile" val="50"/>
        <cfvo type="max"/>
        <color rgb="00F4CCCC"/>
        <color rgb="00FFF2CC"/>
        <color rgb="00E2F0D9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7" customWidth="1" min="5" max="5"/>
    <col width="22" customWidth="1" min="6" max="6"/>
    <col width="13" customWidth="1" min="7" max="7"/>
    <col width="22" customWidth="1" min="8" max="8"/>
  </cols>
  <sheetData>
    <row r="1" ht="30" customHeight="1">
      <c r="A1" s="1" t="inlineStr">
        <is>
          <t>GREY YARN | STOCK CARD</t>
        </is>
      </c>
    </row>
    <row r="2" ht="22" customHeight="1">
      <c r="A2" s="2" t="inlineStr">
        <is>
          <t>Use Data Validation in the Count field and filter by lot/store for operational review.</t>
        </is>
      </c>
    </row>
    <row r="4">
      <c r="A4" s="8" t="inlineStr">
        <is>
          <t>Yarn Count</t>
        </is>
      </c>
      <c r="B4" s="8" t="inlineStr">
        <is>
          <t>Total Opening</t>
        </is>
      </c>
      <c r="C4" s="8" t="inlineStr">
        <is>
          <t>Total Receipt</t>
        </is>
      </c>
      <c r="D4" s="8" t="inlineStr">
        <is>
          <t>Total Issue</t>
        </is>
      </c>
      <c r="E4" s="8" t="inlineStr">
        <is>
          <t>Closing Balance</t>
        </is>
      </c>
      <c r="F4" s="8" t="inlineStr">
        <is>
          <t>Avg Rate</t>
        </is>
      </c>
      <c r="G4" s="8" t="inlineStr">
        <is>
          <t>Stock Value</t>
        </is>
      </c>
      <c r="H4" s="8" t="inlineStr">
        <is>
          <t>Control</t>
        </is>
      </c>
    </row>
    <row r="5">
      <c r="A5" s="9" t="inlineStr">
        <is>
          <t>20s</t>
        </is>
      </c>
      <c r="B5" s="9">
        <f>SUMIFS('Inventory Data'!$G$5:$G$24,'Inventory Data'!$C$5:$C$24,A5)</f>
        <v/>
      </c>
      <c r="C5" s="9">
        <f>SUMIFS('Inventory Data'!$H$5:$H$24,'Inventory Data'!$C$5:$C$24,A5)</f>
        <v/>
      </c>
      <c r="D5" s="9">
        <f>SUMIFS('Inventory Data'!$I$5:$I$24,'Inventory Data'!$C$5:$C$24,A5)</f>
        <v/>
      </c>
      <c r="E5" s="9">
        <f>B5+C5-D5</f>
        <v/>
      </c>
      <c r="F5" s="10">
        <f>IFERROR(AVERAGEIFS('Inventory Data'!$K$5:$K$24,'Inventory Data'!$C$5:$C$24,A5),0)</f>
        <v/>
      </c>
      <c r="G5" s="11">
        <f>E5*F5</f>
        <v/>
      </c>
      <c r="H5" s="9">
        <f>IF(E5&lt;=5000,"Reorder","Normal")</f>
        <v/>
      </c>
    </row>
    <row r="6">
      <c r="A6" s="9" t="inlineStr">
        <is>
          <t>30s</t>
        </is>
      </c>
      <c r="B6" s="9">
        <f>SUMIFS('Inventory Data'!$G$5:$G$24,'Inventory Data'!$C$5:$C$24,A6)</f>
        <v/>
      </c>
      <c r="C6" s="9">
        <f>SUMIFS('Inventory Data'!$H$5:$H$24,'Inventory Data'!$C$5:$C$24,A6)</f>
        <v/>
      </c>
      <c r="D6" s="9">
        <f>SUMIFS('Inventory Data'!$I$5:$I$24,'Inventory Data'!$C$5:$C$24,A6)</f>
        <v/>
      </c>
      <c r="E6" s="9">
        <f>B6+C6-D6</f>
        <v/>
      </c>
      <c r="F6" s="10">
        <f>IFERROR(AVERAGEIFS('Inventory Data'!$K$5:$K$24,'Inventory Data'!$C$5:$C$24,A6),0)</f>
        <v/>
      </c>
      <c r="G6" s="11">
        <f>E6*F6</f>
        <v/>
      </c>
      <c r="H6" s="9">
        <f>IF(E6&lt;=5000,"Reorder","Normal")</f>
        <v/>
      </c>
    </row>
    <row r="7">
      <c r="A7" s="9" t="inlineStr">
        <is>
          <t>40s</t>
        </is>
      </c>
      <c r="B7" s="9">
        <f>SUMIFS('Inventory Data'!$G$5:$G$24,'Inventory Data'!$C$5:$C$24,A7)</f>
        <v/>
      </c>
      <c r="C7" s="9">
        <f>SUMIFS('Inventory Data'!$H$5:$H$24,'Inventory Data'!$C$5:$C$24,A7)</f>
        <v/>
      </c>
      <c r="D7" s="9">
        <f>SUMIFS('Inventory Data'!$I$5:$I$24,'Inventory Data'!$C$5:$C$24,A7)</f>
        <v/>
      </c>
      <c r="E7" s="9">
        <f>B7+C7-D7</f>
        <v/>
      </c>
      <c r="F7" s="10">
        <f>IFERROR(AVERAGEIFS('Inventory Data'!$K$5:$K$24,'Inventory Data'!$C$5:$C$24,A7),0)</f>
        <v/>
      </c>
      <c r="G7" s="11">
        <f>E7*F7</f>
        <v/>
      </c>
      <c r="H7" s="9">
        <f>IF(E7&lt;=5000,"Reorder","Normal")</f>
        <v/>
      </c>
    </row>
    <row r="8">
      <c r="A8" s="9" t="inlineStr">
        <is>
          <t>50s</t>
        </is>
      </c>
      <c r="B8" s="9">
        <f>SUMIFS('Inventory Data'!$G$5:$G$24,'Inventory Data'!$C$5:$C$24,A8)</f>
        <v/>
      </c>
      <c r="C8" s="9">
        <f>SUMIFS('Inventory Data'!$H$5:$H$24,'Inventory Data'!$C$5:$C$24,A8)</f>
        <v/>
      </c>
      <c r="D8" s="9">
        <f>SUMIFS('Inventory Data'!$I$5:$I$24,'Inventory Data'!$C$5:$C$24,A8)</f>
        <v/>
      </c>
      <c r="E8" s="9">
        <f>B8+C8-D8</f>
        <v/>
      </c>
      <c r="F8" s="10">
        <f>IFERROR(AVERAGEIFS('Inventory Data'!$K$5:$K$24,'Inventory Data'!$C$5:$C$24,A8),0)</f>
        <v/>
      </c>
      <c r="G8" s="11">
        <f>E8*F8</f>
        <v/>
      </c>
      <c r="H8" s="9">
        <f>IF(E8&lt;=5000,"Reorder","Normal")</f>
        <v/>
      </c>
    </row>
    <row r="9">
      <c r="A9" s="9" t="inlineStr">
        <is>
          <t>60s</t>
        </is>
      </c>
      <c r="B9" s="9">
        <f>SUMIFS('Inventory Data'!$G$5:$G$24,'Inventory Data'!$C$5:$C$24,A9)</f>
        <v/>
      </c>
      <c r="C9" s="9">
        <f>SUMIFS('Inventory Data'!$H$5:$H$24,'Inventory Data'!$C$5:$C$24,A9)</f>
        <v/>
      </c>
      <c r="D9" s="9">
        <f>SUMIFS('Inventory Data'!$I$5:$I$24,'Inventory Data'!$C$5:$C$24,A9)</f>
        <v/>
      </c>
      <c r="E9" s="9">
        <f>B9+C9-D9</f>
        <v/>
      </c>
      <c r="F9" s="10">
        <f>IFERROR(AVERAGEIFS('Inventory Data'!$K$5:$K$24,'Inventory Data'!$C$5:$C$24,A9),0)</f>
        <v/>
      </c>
      <c r="G9" s="11">
        <f>E9*F9</f>
        <v/>
      </c>
      <c r="H9" s="9">
        <f>IF(E9&lt;=5000,"Reorder","Normal")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0" t="inlineStr">
        <is>
          <t>PIVOT ANALYSIS</t>
        </is>
      </c>
    </row>
    <row r="2">
      <c r="A2" s="30" t="inlineStr">
        <is>
          <t>Management summary tables feeding the dashboard charts.</t>
        </is>
      </c>
    </row>
    <row r="3">
      <c r="A3" s="18" t="inlineStr">
        <is>
          <t>Yarn Count</t>
        </is>
      </c>
      <c r="B3" s="18" t="inlineStr">
        <is>
          <t>Opening Kg</t>
        </is>
      </c>
      <c r="C3" s="18" t="inlineStr">
        <is>
          <t>Receipts Kg</t>
        </is>
      </c>
      <c r="D3" s="18" t="inlineStr">
        <is>
          <t>Issues Kg</t>
        </is>
      </c>
      <c r="E3" s="18" t="inlineStr">
        <is>
          <t>Closing Kg</t>
        </is>
      </c>
      <c r="F3" s="18" t="inlineStr">
        <is>
          <t>Stock Value PKR</t>
        </is>
      </c>
    </row>
    <row r="4">
      <c r="A4" s="24" t="inlineStr">
        <is>
          <t>20s</t>
        </is>
      </c>
      <c r="B4" s="24">
        <f>SUMIFS('Inventory Data'!G:G,'Inventory Data'!C:C,A4)</f>
        <v/>
      </c>
      <c r="C4" s="24">
        <f>SUMIFS('Inventory Data'!H:H,'Inventory Data'!C:C,A4)</f>
        <v/>
      </c>
      <c r="D4" s="24">
        <f>SUMIFS('Inventory Data'!I:I,'Inventory Data'!C:C,A4)</f>
        <v/>
      </c>
      <c r="E4" s="24">
        <f>B4+C4-D4</f>
        <v/>
      </c>
      <c r="F4" s="24">
        <f>SUMIFS('Inventory Data'!L:L,'Inventory Data'!C:C,A4)</f>
        <v/>
      </c>
    </row>
    <row r="5">
      <c r="A5" s="24" t="inlineStr">
        <is>
          <t>30s</t>
        </is>
      </c>
      <c r="B5" s="24">
        <f>SUMIFS('Inventory Data'!G:G,'Inventory Data'!C:C,A5)</f>
        <v/>
      </c>
      <c r="C5" s="24">
        <f>SUMIFS('Inventory Data'!H:H,'Inventory Data'!C:C,A5)</f>
        <v/>
      </c>
      <c r="D5" s="24">
        <f>SUMIFS('Inventory Data'!I:I,'Inventory Data'!C:C,A5)</f>
        <v/>
      </c>
      <c r="E5" s="24">
        <f>B5+C5-D5</f>
        <v/>
      </c>
      <c r="F5" s="24">
        <f>SUMIFS('Inventory Data'!L:L,'Inventory Data'!C:C,A5)</f>
        <v/>
      </c>
    </row>
    <row r="6">
      <c r="A6" s="24" t="inlineStr">
        <is>
          <t>40s</t>
        </is>
      </c>
      <c r="B6" s="24">
        <f>SUMIFS('Inventory Data'!G:G,'Inventory Data'!C:C,A6)</f>
        <v/>
      </c>
      <c r="C6" s="24">
        <f>SUMIFS('Inventory Data'!H:H,'Inventory Data'!C:C,A6)</f>
        <v/>
      </c>
      <c r="D6" s="24">
        <f>SUMIFS('Inventory Data'!I:I,'Inventory Data'!C:C,A6)</f>
        <v/>
      </c>
      <c r="E6" s="24">
        <f>B6+C6-D6</f>
        <v/>
      </c>
      <c r="F6" s="24">
        <f>SUMIFS('Inventory Data'!L:L,'Inventory Data'!C:C,A6)</f>
        <v/>
      </c>
    </row>
    <row r="7">
      <c r="A7" s="24" t="inlineStr">
        <is>
          <t>50s</t>
        </is>
      </c>
      <c r="B7" s="24">
        <f>SUMIFS('Inventory Data'!G:G,'Inventory Data'!C:C,A7)</f>
        <v/>
      </c>
      <c r="C7" s="24">
        <f>SUMIFS('Inventory Data'!H:H,'Inventory Data'!C:C,A7)</f>
        <v/>
      </c>
      <c r="D7" s="24">
        <f>SUMIFS('Inventory Data'!I:I,'Inventory Data'!C:C,A7)</f>
        <v/>
      </c>
      <c r="E7" s="24">
        <f>B7+C7-D7</f>
        <v/>
      </c>
      <c r="F7" s="24">
        <f>SUMIFS('Inventory Data'!L:L,'Inventory Data'!C:C,A7)</f>
        <v/>
      </c>
    </row>
    <row r="8">
      <c r="A8" s="24" t="inlineStr">
        <is>
          <t>60s</t>
        </is>
      </c>
      <c r="B8" s="24">
        <f>SUMIFS('Inventory Data'!G:G,'Inventory Data'!C:C,A8)</f>
        <v/>
      </c>
      <c r="C8" s="24">
        <f>SUMIFS('Inventory Data'!H:H,'Inventory Data'!C:C,A8)</f>
        <v/>
      </c>
      <c r="D8" s="24">
        <f>SUMIFS('Inventory Data'!I:I,'Inventory Data'!C:C,A8)</f>
        <v/>
      </c>
      <c r="E8" s="24">
        <f>B8+C8-D8</f>
        <v/>
      </c>
      <c r="F8" s="24">
        <f>SUMIFS('Inventory Data'!L:L,'Inventory Data'!C:C,A8)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2026-09-15T13:29:50Z</dcterms:created>
  <dcterms:modified xmlns:dcterms="http://purl.org/dc/terms/" xmlns:xsi="http://www.w3.org/2001/XMLSchema-instance" xsi:type="dcterms:W3CDTF">2026-09-15T13:39:53Z</dcterms:modified>
</cp:coreProperties>
</file>