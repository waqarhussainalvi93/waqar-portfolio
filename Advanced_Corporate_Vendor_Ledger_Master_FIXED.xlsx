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anagement Dashboard" sheetId="1" state="visible" r:id="rId1"/>
    <sheet xmlns:r="http://schemas.openxmlformats.org/officeDocument/2006/relationships" name="Ledger Index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V001" sheetId="5" state="visible" r:id="rId5"/>
    <sheet xmlns:r="http://schemas.openxmlformats.org/officeDocument/2006/relationships" name="V002" sheetId="6" state="visible" r:id="rId6"/>
    <sheet xmlns:r="http://schemas.openxmlformats.org/officeDocument/2006/relationships" name="V003" sheetId="7" state="visible" r:id="rId7"/>
    <sheet xmlns:r="http://schemas.openxmlformats.org/officeDocument/2006/relationships" name="V004" sheetId="8" state="visible" r:id="rId8"/>
    <sheet xmlns:r="http://schemas.openxmlformats.org/officeDocument/2006/relationships" name="V005" sheetId="9" state="visible" r:id="rId9"/>
    <sheet xmlns:r="http://schemas.openxmlformats.org/officeDocument/2006/relationships" name="V006" sheetId="10" state="visible" r:id="rId10"/>
    <sheet xmlns:r="http://schemas.openxmlformats.org/officeDocument/2006/relationships" name="V007" sheetId="11" state="visible" r:id="rId11"/>
    <sheet xmlns:r="http://schemas.openxmlformats.org/officeDocument/2006/relationships" name="V008" sheetId="12" state="visible" r:id="rId12"/>
    <sheet xmlns:r="http://schemas.openxmlformats.org/officeDocument/2006/relationships" name="V009" sheetId="13" state="visible" r:id="rId13"/>
    <sheet xmlns:r="http://schemas.openxmlformats.org/officeDocument/2006/relationships" name="V010" sheetId="14" state="visible" r:id="rId1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4"/>
    </font>
    <font>
      <b val="1"/>
      <color rgb="0017365D"/>
      <sz val="13"/>
    </font>
    <font>
      <b val="1"/>
      <color rgb="000563C1"/>
      <u val="single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4" fillId="4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4" borderId="0" pivotButton="0" quotePrefix="0" xfId="0"/>
    <xf numFmtId="4" fontId="7" fillId="4" borderId="0" pivotButton="0" quotePrefix="0" xfId="0"/>
    <xf numFmtId="0" fontId="3" fillId="5" borderId="0" pivotButton="0" quotePrefix="0" xfId="0"/>
    <xf numFmtId="4" fontId="7" fillId="6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Vendor Closing Balance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'Management 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'Management Dashboard'!$B$9:$B$18</f>
            </numRef>
          </cat>
          <val>
            <numRef>
              <f>'Management Dashboard'!$G$9:$G$18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edgerIndexTable" displayName="LedgerIndexTable" ref="A5:H15" headerRowCount="1">
  <autoFilter ref="A5:H15"/>
  <tableColumns count="8">
    <tableColumn id="1" name="Vendor ID"/>
    <tableColumn id="2" name="Vendor Name"/>
    <tableColumn id="3" name="Category"/>
    <tableColumn id="4" name="Status"/>
    <tableColumn id="5" name="Opening Balance"/>
    <tableColumn id="6" name="Debit"/>
    <tableColumn id="7" name="Credit"/>
    <tableColumn id="8" name="Closing Bala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endorMasterTable" displayName="VendorMasterTable" ref="A5:H15" headerRowCount="1">
  <autoFilter ref="A5:H15"/>
  <tableColumns count="8">
    <tableColumn id="1" name="Vendor ID"/>
    <tableColumn id="2" name="Vendor Name"/>
    <tableColumn id="3" name="Category"/>
    <tableColumn id="4" name="Contact Person"/>
    <tableColumn id="5" name="Payment Terms"/>
    <tableColumn id="6" name="Credit Limit"/>
    <tableColumn id="7" name="Opening Balance"/>
    <tableColumn id="8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VendorTransactionsTable" displayName="VendorTransactionsTable" ref="A5:J25" headerRowCount="1">
  <autoFilter ref="A5:J25"/>
  <tableColumns count="10">
    <tableColumn id="1" name="Date"/>
    <tableColumn id="2" name="Voucher No."/>
    <tableColumn id="3" name="Vendor ID"/>
    <tableColumn id="4" name="Vendor Name"/>
    <tableColumn id="5" name="Description"/>
    <tableColumn id="6" name="Debit"/>
    <tableColumn id="7" name="Credit"/>
    <tableColumn id="8" name="Reference"/>
    <tableColumn id="9" name="Entered By"/>
    <tableColumn id="10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V001!A1" TargetMode="External" Id="rId1"/><Relationship Type="http://schemas.openxmlformats.org/officeDocument/2006/relationships/hyperlink" Target="#V001!A1" TargetMode="External" Id="rId2"/><Relationship Type="http://schemas.openxmlformats.org/officeDocument/2006/relationships/hyperlink" Target="#V002!A1" TargetMode="External" Id="rId3"/><Relationship Type="http://schemas.openxmlformats.org/officeDocument/2006/relationships/hyperlink" Target="#V002!A1" TargetMode="External" Id="rId4"/><Relationship Type="http://schemas.openxmlformats.org/officeDocument/2006/relationships/hyperlink" Target="#V003!A1" TargetMode="External" Id="rId5"/><Relationship Type="http://schemas.openxmlformats.org/officeDocument/2006/relationships/hyperlink" Target="#V003!A1" TargetMode="External" Id="rId6"/><Relationship Type="http://schemas.openxmlformats.org/officeDocument/2006/relationships/hyperlink" Target="#V004!A1" TargetMode="External" Id="rId7"/><Relationship Type="http://schemas.openxmlformats.org/officeDocument/2006/relationships/hyperlink" Target="#V004!A1" TargetMode="External" Id="rId8"/><Relationship Type="http://schemas.openxmlformats.org/officeDocument/2006/relationships/hyperlink" Target="#V005!A1" TargetMode="External" Id="rId9"/><Relationship Type="http://schemas.openxmlformats.org/officeDocument/2006/relationships/hyperlink" Target="#V005!A1" TargetMode="External" Id="rId10"/><Relationship Type="http://schemas.openxmlformats.org/officeDocument/2006/relationships/hyperlink" Target="#V006!A1" TargetMode="External" Id="rId11"/><Relationship Type="http://schemas.openxmlformats.org/officeDocument/2006/relationships/hyperlink" Target="#V006!A1" TargetMode="External" Id="rId12"/><Relationship Type="http://schemas.openxmlformats.org/officeDocument/2006/relationships/hyperlink" Target="#V007!A1" TargetMode="External" Id="rId13"/><Relationship Type="http://schemas.openxmlformats.org/officeDocument/2006/relationships/hyperlink" Target="#V007!A1" TargetMode="External" Id="rId14"/><Relationship Type="http://schemas.openxmlformats.org/officeDocument/2006/relationships/hyperlink" Target="#V008!A1" TargetMode="External" Id="rId15"/><Relationship Type="http://schemas.openxmlformats.org/officeDocument/2006/relationships/hyperlink" Target="#V008!A1" TargetMode="External" Id="rId16"/><Relationship Type="http://schemas.openxmlformats.org/officeDocument/2006/relationships/hyperlink" Target="#V009!A1" TargetMode="External" Id="rId17"/><Relationship Type="http://schemas.openxmlformats.org/officeDocument/2006/relationships/hyperlink" Target="#V009!A1" TargetMode="External" Id="rId18"/><Relationship Type="http://schemas.openxmlformats.org/officeDocument/2006/relationships/hyperlink" Target="#V010!A1" TargetMode="External" Id="rId19"/><Relationship Type="http://schemas.openxmlformats.org/officeDocument/2006/relationships/hyperlink" Target="#V010!A1" TargetMode="External" Id="rId20"/><Relationship Type="http://schemas.openxmlformats.org/officeDocument/2006/relationships/table" Target="/xl/tables/table1.xml" Id="rId2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Ledger 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VENDOR PAYABLE MANAGEMENT DASHBOARD</t>
        </is>
      </c>
    </row>
    <row r="2">
      <c r="A2" s="2" t="inlineStr">
        <is>
          <t>Single master workbook — all vendor ledgers are contained here</t>
        </is>
      </c>
    </row>
    <row r="4">
      <c r="A4" s="3" t="inlineStr">
        <is>
          <t>Active Vendors</t>
        </is>
      </c>
      <c r="B4" s="4">
        <f>COUNTA('Vendor Master'!A6:A15)</f>
        <v/>
      </c>
      <c r="D4" s="3" t="inlineStr">
        <is>
          <t>Total Debit</t>
        </is>
      </c>
      <c r="E4" s="4">
        <f>SUM(Transactions!F:F)</f>
        <v/>
      </c>
      <c r="G4" s="3" t="inlineStr">
        <is>
          <t>Total Credit</t>
        </is>
      </c>
      <c r="H4" s="4">
        <f>SUM(Transactions!G:G)</f>
        <v/>
      </c>
      <c r="J4" s="3" t="inlineStr">
        <is>
          <t>Net Payable</t>
        </is>
      </c>
      <c r="K4" s="4">
        <f>SUM('Ledger Index'!H6:H15)</f>
        <v/>
      </c>
    </row>
    <row r="7">
      <c r="A7" s="5" t="inlineStr">
        <is>
          <t>Vendor Payable Summary</t>
        </is>
      </c>
    </row>
    <row r="8">
      <c r="A8" s="6" t="inlineStr">
        <is>
          <t>Vendor ID</t>
        </is>
      </c>
      <c r="B8" s="6" t="inlineStr">
        <is>
          <t>Vendor Name</t>
        </is>
      </c>
      <c r="C8" s="6" t="inlineStr">
        <is>
          <t>Category</t>
        </is>
      </c>
      <c r="D8" s="6" t="inlineStr">
        <is>
          <t>Opening</t>
        </is>
      </c>
      <c r="E8" s="6" t="inlineStr">
        <is>
          <t>Debit</t>
        </is>
      </c>
      <c r="F8" s="6" t="inlineStr">
        <is>
          <t>Credit</t>
        </is>
      </c>
      <c r="G8" s="6" t="inlineStr">
        <is>
          <t>Closing</t>
        </is>
      </c>
    </row>
    <row r="9">
      <c r="A9">
        <f>'Ledger Index'!A6</f>
        <v/>
      </c>
      <c r="B9">
        <f>'Ledger Index'!B6</f>
        <v/>
      </c>
      <c r="C9">
        <f>'Ledger Index'!C6</f>
        <v/>
      </c>
      <c r="D9" s="7">
        <f>'Ledger Index'!E6</f>
        <v/>
      </c>
      <c r="E9" s="7">
        <f>'Ledger Index'!F6</f>
        <v/>
      </c>
      <c r="F9" s="7">
        <f>'Ledger Index'!G6</f>
        <v/>
      </c>
      <c r="G9" s="7">
        <f>'Ledger Index'!H6</f>
        <v/>
      </c>
    </row>
    <row r="10">
      <c r="A10">
        <f>'Ledger Index'!A7</f>
        <v/>
      </c>
      <c r="B10">
        <f>'Ledger Index'!B7</f>
        <v/>
      </c>
      <c r="C10">
        <f>'Ledger Index'!C7</f>
        <v/>
      </c>
      <c r="D10" s="7">
        <f>'Ledger Index'!E7</f>
        <v/>
      </c>
      <c r="E10" s="7">
        <f>'Ledger Index'!F7</f>
        <v/>
      </c>
      <c r="F10" s="7">
        <f>'Ledger Index'!G7</f>
        <v/>
      </c>
      <c r="G10" s="7">
        <f>'Ledger Index'!H7</f>
        <v/>
      </c>
    </row>
    <row r="11">
      <c r="A11">
        <f>'Ledger Index'!A8</f>
        <v/>
      </c>
      <c r="B11">
        <f>'Ledger Index'!B8</f>
        <v/>
      </c>
      <c r="C11">
        <f>'Ledger Index'!C8</f>
        <v/>
      </c>
      <c r="D11" s="7">
        <f>'Ledger Index'!E8</f>
        <v/>
      </c>
      <c r="E11" s="7">
        <f>'Ledger Index'!F8</f>
        <v/>
      </c>
      <c r="F11" s="7">
        <f>'Ledger Index'!G8</f>
        <v/>
      </c>
      <c r="G11" s="7">
        <f>'Ledger Index'!H8</f>
        <v/>
      </c>
    </row>
    <row r="12">
      <c r="A12">
        <f>'Ledger Index'!A9</f>
        <v/>
      </c>
      <c r="B12">
        <f>'Ledger Index'!B9</f>
        <v/>
      </c>
      <c r="C12">
        <f>'Ledger Index'!C9</f>
        <v/>
      </c>
      <c r="D12" s="7">
        <f>'Ledger Index'!E9</f>
        <v/>
      </c>
      <c r="E12" s="7">
        <f>'Ledger Index'!F9</f>
        <v/>
      </c>
      <c r="F12" s="7">
        <f>'Ledger Index'!G9</f>
        <v/>
      </c>
      <c r="G12" s="7">
        <f>'Ledger Index'!H9</f>
        <v/>
      </c>
    </row>
    <row r="13">
      <c r="A13">
        <f>'Ledger Index'!A10</f>
        <v/>
      </c>
      <c r="B13">
        <f>'Ledger Index'!B10</f>
        <v/>
      </c>
      <c r="C13">
        <f>'Ledger Index'!C10</f>
        <v/>
      </c>
      <c r="D13" s="7">
        <f>'Ledger Index'!E10</f>
        <v/>
      </c>
      <c r="E13" s="7">
        <f>'Ledger Index'!F10</f>
        <v/>
      </c>
      <c r="F13" s="7">
        <f>'Ledger Index'!G10</f>
        <v/>
      </c>
      <c r="G13" s="7">
        <f>'Ledger Index'!H10</f>
        <v/>
      </c>
    </row>
    <row r="14">
      <c r="A14">
        <f>'Ledger Index'!A11</f>
        <v/>
      </c>
      <c r="B14">
        <f>'Ledger Index'!B11</f>
        <v/>
      </c>
      <c r="C14">
        <f>'Ledger Index'!C11</f>
        <v/>
      </c>
      <c r="D14" s="7">
        <f>'Ledger Index'!E11</f>
        <v/>
      </c>
      <c r="E14" s="7">
        <f>'Ledger Index'!F11</f>
        <v/>
      </c>
      <c r="F14" s="7">
        <f>'Ledger Index'!G11</f>
        <v/>
      </c>
      <c r="G14" s="7">
        <f>'Ledger Index'!H11</f>
        <v/>
      </c>
    </row>
    <row r="15">
      <c r="A15">
        <f>'Ledger Index'!A12</f>
        <v/>
      </c>
      <c r="B15">
        <f>'Ledger Index'!B12</f>
        <v/>
      </c>
      <c r="C15">
        <f>'Ledger Index'!C12</f>
        <v/>
      </c>
      <c r="D15" s="7">
        <f>'Ledger Index'!E12</f>
        <v/>
      </c>
      <c r="E15" s="7">
        <f>'Ledger Index'!F12</f>
        <v/>
      </c>
      <c r="F15" s="7">
        <f>'Ledger Index'!G12</f>
        <v/>
      </c>
      <c r="G15" s="7">
        <f>'Ledger Index'!H12</f>
        <v/>
      </c>
    </row>
    <row r="16">
      <c r="A16">
        <f>'Ledger Index'!A13</f>
        <v/>
      </c>
      <c r="B16">
        <f>'Ledger Index'!B13</f>
        <v/>
      </c>
      <c r="C16">
        <f>'Ledger Index'!C13</f>
        <v/>
      </c>
      <c r="D16" s="7">
        <f>'Ledger Index'!E13</f>
        <v/>
      </c>
      <c r="E16" s="7">
        <f>'Ledger Index'!F13</f>
        <v/>
      </c>
      <c r="F16" s="7">
        <f>'Ledger Index'!G13</f>
        <v/>
      </c>
      <c r="G16" s="7">
        <f>'Ledger Index'!H13</f>
        <v/>
      </c>
    </row>
    <row r="17">
      <c r="A17">
        <f>'Ledger Index'!A14</f>
        <v/>
      </c>
      <c r="B17">
        <f>'Ledger Index'!B14</f>
        <v/>
      </c>
      <c r="C17">
        <f>'Ledger Index'!C14</f>
        <v/>
      </c>
      <c r="D17" s="7">
        <f>'Ledger Index'!E14</f>
        <v/>
      </c>
      <c r="E17" s="7">
        <f>'Ledger Index'!F14</f>
        <v/>
      </c>
      <c r="F17" s="7">
        <f>'Ledger Index'!G14</f>
        <v/>
      </c>
      <c r="G17" s="7">
        <f>'Ledger Index'!H14</f>
        <v/>
      </c>
    </row>
    <row r="18">
      <c r="A18">
        <f>'Ledger Index'!A15</f>
        <v/>
      </c>
      <c r="B18">
        <f>'Ledger Index'!B15</f>
        <v/>
      </c>
      <c r="C18">
        <f>'Ledger Index'!C15</f>
        <v/>
      </c>
      <c r="D18" s="7">
        <f>'Ledger Index'!E15</f>
        <v/>
      </c>
      <c r="E18" s="7">
        <f>'Ledger Index'!F15</f>
        <v/>
      </c>
      <c r="F18" s="7">
        <f>'Ledger Index'!G15</f>
        <v/>
      </c>
      <c r="G18" s="7">
        <f>'Ledger Index'!H15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VENDOR LEDGER INDEX</t>
        </is>
      </c>
    </row>
    <row r="2">
      <c r="A2" s="2" t="inlineStr">
        <is>
          <t>Click any vendor name to jump to that vendor's ledger sheet</t>
        </is>
      </c>
    </row>
    <row r="3">
      <c r="A3" s="2" t="inlineStr">
        <is>
          <t>Navigation: tap/click the blue Vendor Name or OPEN LEDGER → button.</t>
        </is>
      </c>
    </row>
    <row r="5">
      <c r="A5" s="6" t="inlineStr">
        <is>
          <t>Vendor ID</t>
        </is>
      </c>
      <c r="B5" s="6" t="inlineStr">
        <is>
          <t>Vendor Name</t>
        </is>
      </c>
      <c r="C5" s="6" t="inlineStr">
        <is>
          <t>Category</t>
        </is>
      </c>
      <c r="D5" s="6" t="inlineStr">
        <is>
          <t>Status</t>
        </is>
      </c>
      <c r="E5" s="6" t="inlineStr">
        <is>
          <t>Opening Balance</t>
        </is>
      </c>
      <c r="F5" s="6" t="inlineStr">
        <is>
          <t>Debit</t>
        </is>
      </c>
      <c r="G5" s="6" t="inlineStr">
        <is>
          <t>Credit</t>
        </is>
      </c>
      <c r="H5" s="6" t="inlineStr">
        <is>
          <t>Closing Balance</t>
        </is>
      </c>
      <c r="I5" s="3" t="inlineStr">
        <is>
          <t>Open Ledger</t>
        </is>
      </c>
    </row>
    <row r="6">
      <c r="A6" t="inlineStr">
        <is>
          <t>V001</t>
        </is>
      </c>
      <c r="B6" s="14" t="inlineStr">
        <is>
          <t>Alpha Yarn Suppliers</t>
        </is>
      </c>
      <c r="C6" t="inlineStr">
        <is>
          <t>Yarn</t>
        </is>
      </c>
      <c r="D6" t="inlineStr">
        <is>
          <t>Active</t>
        </is>
      </c>
      <c r="E6" s="7">
        <f>XLOOKUP(A6,'Vendor Master'!A6:A15,'Vendor Master'!G6:G15,0)</f>
        <v/>
      </c>
      <c r="F6" s="7">
        <f>SUMIFS(Transactions!F:F,Transactions!C:C,A6)</f>
        <v/>
      </c>
      <c r="G6" s="7">
        <f>SUMIFS(Transactions!G:G,Transactions!C:C,A6)</f>
        <v/>
      </c>
      <c r="H6" s="7">
        <f>E6+F6-G6</f>
        <v/>
      </c>
      <c r="I6" s="15" t="inlineStr">
        <is>
          <t>OPEN LEDGER →</t>
        </is>
      </c>
    </row>
    <row r="7">
      <c r="A7" t="inlineStr">
        <is>
          <t>V002</t>
        </is>
      </c>
      <c r="B7" s="14" t="inlineStr">
        <is>
          <t>Pak Textile Traders</t>
        </is>
      </c>
      <c r="C7" t="inlineStr">
        <is>
          <t>Textile</t>
        </is>
      </c>
      <c r="D7" t="inlineStr">
        <is>
          <t>Active</t>
        </is>
      </c>
      <c r="E7" s="7">
        <f>XLOOKUP(A7,'Vendor Master'!A6:A15,'Vendor Master'!G6:G15,0)</f>
        <v/>
      </c>
      <c r="F7" s="7">
        <f>SUMIFS(Transactions!F:F,Transactions!C:C,A7)</f>
        <v/>
      </c>
      <c r="G7" s="7">
        <f>SUMIFS(Transactions!G:G,Transactions!C:C,A7)</f>
        <v/>
      </c>
      <c r="H7" s="7">
        <f>E7+F7-G7</f>
        <v/>
      </c>
      <c r="I7" s="15" t="inlineStr">
        <is>
          <t>OPEN LEDGER →</t>
        </is>
      </c>
    </row>
    <row r="8">
      <c r="A8" t="inlineStr">
        <is>
          <t>V003</t>
        </is>
      </c>
      <c r="B8" s="14" t="inlineStr">
        <is>
          <t>Faisal Engineering Works</t>
        </is>
      </c>
      <c r="C8" t="inlineStr">
        <is>
          <t>Engineering</t>
        </is>
      </c>
      <c r="D8" t="inlineStr">
        <is>
          <t>Active</t>
        </is>
      </c>
      <c r="E8" s="7">
        <f>XLOOKUP(A8,'Vendor Master'!A6:A15,'Vendor Master'!G6:G15,0)</f>
        <v/>
      </c>
      <c r="F8" s="7">
        <f>SUMIFS(Transactions!F:F,Transactions!C:C,A8)</f>
        <v/>
      </c>
      <c r="G8" s="7">
        <f>SUMIFS(Transactions!G:G,Transactions!C:C,A8)</f>
        <v/>
      </c>
      <c r="H8" s="7">
        <f>E8+F8-G8</f>
        <v/>
      </c>
      <c r="I8" s="15" t="inlineStr">
        <is>
          <t>OPEN LEDGER →</t>
        </is>
      </c>
    </row>
    <row r="9">
      <c r="A9" t="inlineStr">
        <is>
          <t>V004</t>
        </is>
      </c>
      <c r="B9" s="14" t="inlineStr">
        <is>
          <t>City Packing Solutions</t>
        </is>
      </c>
      <c r="C9" t="inlineStr">
        <is>
          <t>Packing</t>
        </is>
      </c>
      <c r="D9" t="inlineStr">
        <is>
          <t>Active</t>
        </is>
      </c>
      <c r="E9" s="7">
        <f>XLOOKUP(A9,'Vendor Master'!A6:A15,'Vendor Master'!G6:G15,0)</f>
        <v/>
      </c>
      <c r="F9" s="7">
        <f>SUMIFS(Transactions!F:F,Transactions!C:C,A9)</f>
        <v/>
      </c>
      <c r="G9" s="7">
        <f>SUMIFS(Transactions!G:G,Transactions!C:C,A9)</f>
        <v/>
      </c>
      <c r="H9" s="7">
        <f>E9+F9-G9</f>
        <v/>
      </c>
      <c r="I9" s="15" t="inlineStr">
        <is>
          <t>OPEN LEDGER →</t>
        </is>
      </c>
    </row>
    <row r="10">
      <c r="A10" t="inlineStr">
        <is>
          <t>V005</t>
        </is>
      </c>
      <c r="B10" s="14" t="inlineStr">
        <is>
          <t>Prime Chemical Suppliers</t>
        </is>
      </c>
      <c r="C10" t="inlineStr">
        <is>
          <t>Chemicals</t>
        </is>
      </c>
      <c r="D10" t="inlineStr">
        <is>
          <t>Active</t>
        </is>
      </c>
      <c r="E10" s="7">
        <f>XLOOKUP(A10,'Vendor Master'!A6:A15,'Vendor Master'!G6:G15,0)</f>
        <v/>
      </c>
      <c r="F10" s="7">
        <f>SUMIFS(Transactions!F:F,Transactions!C:C,A10)</f>
        <v/>
      </c>
      <c r="G10" s="7">
        <f>SUMIFS(Transactions!G:G,Transactions!C:C,A10)</f>
        <v/>
      </c>
      <c r="H10" s="7">
        <f>E10+F10-G10</f>
        <v/>
      </c>
      <c r="I10" s="15" t="inlineStr">
        <is>
          <t>OPEN LEDGER →</t>
        </is>
      </c>
    </row>
    <row r="11">
      <c r="A11" t="inlineStr">
        <is>
          <t>V006</t>
        </is>
      </c>
      <c r="B11" s="14" t="inlineStr">
        <is>
          <t>Metro Electricals</t>
        </is>
      </c>
      <c r="C11" t="inlineStr">
        <is>
          <t>Electrical</t>
        </is>
      </c>
      <c r="D11" t="inlineStr">
        <is>
          <t>Active</t>
        </is>
      </c>
      <c r="E11" s="7">
        <f>XLOOKUP(A11,'Vendor Master'!A6:A15,'Vendor Master'!G6:G15,0)</f>
        <v/>
      </c>
      <c r="F11" s="7">
        <f>SUMIFS(Transactions!F:F,Transactions!C:C,A11)</f>
        <v/>
      </c>
      <c r="G11" s="7">
        <f>SUMIFS(Transactions!G:G,Transactions!C:C,A11)</f>
        <v/>
      </c>
      <c r="H11" s="7">
        <f>E11+F11-G11</f>
        <v/>
      </c>
      <c r="I11" s="15" t="inlineStr">
        <is>
          <t>OPEN LEDGER →</t>
        </is>
      </c>
    </row>
    <row r="12">
      <c r="A12" t="inlineStr">
        <is>
          <t>V007</t>
        </is>
      </c>
      <c r="B12" s="14" t="inlineStr">
        <is>
          <t>United Spare Parts</t>
        </is>
      </c>
      <c r="C12" t="inlineStr">
        <is>
          <t>Spare Parts</t>
        </is>
      </c>
      <c r="D12" t="inlineStr">
        <is>
          <t>Active</t>
        </is>
      </c>
      <c r="E12" s="7">
        <f>XLOOKUP(A12,'Vendor Master'!A6:A15,'Vendor Master'!G6:G15,0)</f>
        <v/>
      </c>
      <c r="F12" s="7">
        <f>SUMIFS(Transactions!F:F,Transactions!C:C,A12)</f>
        <v/>
      </c>
      <c r="G12" s="7">
        <f>SUMIFS(Transactions!G:G,Transactions!C:C,A12)</f>
        <v/>
      </c>
      <c r="H12" s="7">
        <f>E12+F12-G12</f>
        <v/>
      </c>
      <c r="I12" s="15" t="inlineStr">
        <is>
          <t>OPEN LEDGER →</t>
        </is>
      </c>
    </row>
    <row r="13">
      <c r="A13" t="inlineStr">
        <is>
          <t>V008</t>
        </is>
      </c>
      <c r="B13" s="14" t="inlineStr">
        <is>
          <t>National Transport Services</t>
        </is>
      </c>
      <c r="C13" t="inlineStr">
        <is>
          <t>Transport</t>
        </is>
      </c>
      <c r="D13" t="inlineStr">
        <is>
          <t>Active</t>
        </is>
      </c>
      <c r="E13" s="7">
        <f>XLOOKUP(A13,'Vendor Master'!A6:A15,'Vendor Master'!G6:G15,0)</f>
        <v/>
      </c>
      <c r="F13" s="7">
        <f>SUMIFS(Transactions!F:F,Transactions!C:C,A13)</f>
        <v/>
      </c>
      <c r="G13" s="7">
        <f>SUMIFS(Transactions!G:G,Transactions!C:C,A13)</f>
        <v/>
      </c>
      <c r="H13" s="7">
        <f>E13+F13-G13</f>
        <v/>
      </c>
      <c r="I13" s="15" t="inlineStr">
        <is>
          <t>OPEN LEDGER →</t>
        </is>
      </c>
    </row>
    <row r="14">
      <c r="A14" t="inlineStr">
        <is>
          <t>V009</t>
        </is>
      </c>
      <c r="B14" s="14" t="inlineStr">
        <is>
          <t>Quality Lubricants</t>
        </is>
      </c>
      <c r="C14" t="inlineStr">
        <is>
          <t>Lubricants</t>
        </is>
      </c>
      <c r="D14" t="inlineStr">
        <is>
          <t>Active</t>
        </is>
      </c>
      <c r="E14" s="7">
        <f>XLOOKUP(A14,'Vendor Master'!A6:A15,'Vendor Master'!G6:G15,0)</f>
        <v/>
      </c>
      <c r="F14" s="7">
        <f>SUMIFS(Transactions!F:F,Transactions!C:C,A14)</f>
        <v/>
      </c>
      <c r="G14" s="7">
        <f>SUMIFS(Transactions!G:G,Transactions!C:C,A14)</f>
        <v/>
      </c>
      <c r="H14" s="7">
        <f>E14+F14-G14</f>
        <v/>
      </c>
      <c r="I14" s="15" t="inlineStr">
        <is>
          <t>OPEN LEDGER →</t>
        </is>
      </c>
    </row>
    <row r="15">
      <c r="A15" t="inlineStr">
        <is>
          <t>V010</t>
        </is>
      </c>
      <c r="B15" s="14" t="inlineStr">
        <is>
          <t>Industrial Safety House</t>
        </is>
      </c>
      <c r="C15" t="inlineStr">
        <is>
          <t>Safety</t>
        </is>
      </c>
      <c r="D15" t="inlineStr">
        <is>
          <t>Active</t>
        </is>
      </c>
      <c r="E15" s="7">
        <f>XLOOKUP(A15,'Vendor Master'!A6:A15,'Vendor Master'!G6:G15,0)</f>
        <v/>
      </c>
      <c r="F15" s="7">
        <f>SUMIFS(Transactions!F:F,Transactions!C:C,A15)</f>
        <v/>
      </c>
      <c r="G15" s="7">
        <f>SUMIFS(Transactions!G:G,Transactions!C:C,A15)</f>
        <v/>
      </c>
      <c r="H15" s="7">
        <f>E15+F15-G15</f>
        <v/>
      </c>
      <c r="I15" s="15" t="inlineStr">
        <is>
          <t>OPEN LEDGER →</t>
        </is>
      </c>
    </row>
  </sheetData>
  <mergeCells count="3">
    <mergeCell ref="A2:H2"/>
    <mergeCell ref="A3:I3"/>
    <mergeCell ref="A1:H1"/>
  </mergeCells>
  <hyperlinks>
    <hyperlink xmlns:r="http://schemas.openxmlformats.org/officeDocument/2006/relationships" ref="B6" r:id="rId1"/>
    <hyperlink xmlns:r="http://schemas.openxmlformats.org/officeDocument/2006/relationships" ref="I6" r:id="rId2"/>
    <hyperlink xmlns:r="http://schemas.openxmlformats.org/officeDocument/2006/relationships" ref="B7" r:id="rId3"/>
    <hyperlink xmlns:r="http://schemas.openxmlformats.org/officeDocument/2006/relationships" ref="I7" r:id="rId4"/>
    <hyperlink xmlns:r="http://schemas.openxmlformats.org/officeDocument/2006/relationships" ref="B8" r:id="rId5"/>
    <hyperlink xmlns:r="http://schemas.openxmlformats.org/officeDocument/2006/relationships" ref="I8" r:id="rId6"/>
    <hyperlink xmlns:r="http://schemas.openxmlformats.org/officeDocument/2006/relationships" ref="B9" r:id="rId7"/>
    <hyperlink xmlns:r="http://schemas.openxmlformats.org/officeDocument/2006/relationships" ref="I9" r:id="rId8"/>
    <hyperlink xmlns:r="http://schemas.openxmlformats.org/officeDocument/2006/relationships" ref="B10" r:id="rId9"/>
    <hyperlink xmlns:r="http://schemas.openxmlformats.org/officeDocument/2006/relationships" ref="I10" r:id="rId10"/>
    <hyperlink xmlns:r="http://schemas.openxmlformats.org/officeDocument/2006/relationships" ref="B11" r:id="rId11"/>
    <hyperlink xmlns:r="http://schemas.openxmlformats.org/officeDocument/2006/relationships" ref="I11" r:id="rId12"/>
    <hyperlink xmlns:r="http://schemas.openxmlformats.org/officeDocument/2006/relationships" ref="B12" r:id="rId13"/>
    <hyperlink xmlns:r="http://schemas.openxmlformats.org/officeDocument/2006/relationships" ref="I12" r:id="rId14"/>
    <hyperlink xmlns:r="http://schemas.openxmlformats.org/officeDocument/2006/relationships" ref="B13" r:id="rId15"/>
    <hyperlink xmlns:r="http://schemas.openxmlformats.org/officeDocument/2006/relationships" ref="I13" r:id="rId16"/>
    <hyperlink xmlns:r="http://schemas.openxmlformats.org/officeDocument/2006/relationships" ref="B14" r:id="rId17"/>
    <hyperlink xmlns:r="http://schemas.openxmlformats.org/officeDocument/2006/relationships" ref="I14" r:id="rId18"/>
    <hyperlink xmlns:r="http://schemas.openxmlformats.org/officeDocument/2006/relationships" ref="B15" r:id="rId19"/>
    <hyperlink xmlns:r="http://schemas.openxmlformats.org/officeDocument/2006/relationships" ref="I15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VENDOR MASTER</t>
        </is>
      </c>
    </row>
    <row r="2">
      <c r="A2" s="2" t="inlineStr">
        <is>
          <t>Central vendor reference data</t>
        </is>
      </c>
    </row>
    <row r="5">
      <c r="A5" s="6" t="inlineStr">
        <is>
          <t>Vendor ID</t>
        </is>
      </c>
      <c r="B5" s="6" t="inlineStr">
        <is>
          <t>Vendor Name</t>
        </is>
      </c>
      <c r="C5" s="6" t="inlineStr">
        <is>
          <t>Category</t>
        </is>
      </c>
      <c r="D5" s="6" t="inlineStr">
        <is>
          <t>Contact Person</t>
        </is>
      </c>
      <c r="E5" s="6" t="inlineStr">
        <is>
          <t>Payment Terms</t>
        </is>
      </c>
      <c r="F5" s="6" t="inlineStr">
        <is>
          <t>Credit Limit</t>
        </is>
      </c>
      <c r="G5" s="6" t="inlineStr">
        <is>
          <t>Opening Balance</t>
        </is>
      </c>
      <c r="H5" s="6" t="inlineStr">
        <is>
          <t>Status</t>
        </is>
      </c>
    </row>
    <row r="6">
      <c r="A6" t="inlineStr">
        <is>
          <t>V001</t>
        </is>
      </c>
      <c r="B6" t="inlineStr">
        <is>
          <t>Alpha Yarn Suppliers</t>
        </is>
      </c>
      <c r="C6" t="inlineStr">
        <is>
          <t>Yarn</t>
        </is>
      </c>
      <c r="D6" t="inlineStr">
        <is>
          <t>Alpha Yarn Suppliers Accounts</t>
        </is>
      </c>
      <c r="E6" t="inlineStr">
        <is>
          <t>30 Days</t>
        </is>
      </c>
      <c r="F6" s="7" t="n">
        <v>500000</v>
      </c>
      <c r="G6" s="7" t="n">
        <v>100000</v>
      </c>
      <c r="H6" t="inlineStr">
        <is>
          <t>Active</t>
        </is>
      </c>
    </row>
    <row r="7">
      <c r="A7" t="inlineStr">
        <is>
          <t>V002</t>
        </is>
      </c>
      <c r="B7" t="inlineStr">
        <is>
          <t>Pak Textile Traders</t>
        </is>
      </c>
      <c r="C7" t="inlineStr">
        <is>
          <t>Textile</t>
        </is>
      </c>
      <c r="D7" t="inlineStr">
        <is>
          <t>Pak Textile Traders Accounts</t>
        </is>
      </c>
      <c r="E7" t="inlineStr">
        <is>
          <t>30 Days</t>
        </is>
      </c>
      <c r="F7" s="7" t="n">
        <v>500000</v>
      </c>
      <c r="G7" s="7" t="n">
        <v>100000</v>
      </c>
      <c r="H7" t="inlineStr">
        <is>
          <t>Active</t>
        </is>
      </c>
    </row>
    <row r="8">
      <c r="A8" t="inlineStr">
        <is>
          <t>V003</t>
        </is>
      </c>
      <c r="B8" t="inlineStr">
        <is>
          <t>Faisal Engineering Works</t>
        </is>
      </c>
      <c r="C8" t="inlineStr">
        <is>
          <t>Engineering</t>
        </is>
      </c>
      <c r="D8" t="inlineStr">
        <is>
          <t>Faisal Engineering Works Accounts</t>
        </is>
      </c>
      <c r="E8" t="inlineStr">
        <is>
          <t>30 Days</t>
        </is>
      </c>
      <c r="F8" s="7" t="n">
        <v>500000</v>
      </c>
      <c r="G8" s="7" t="n">
        <v>100000</v>
      </c>
      <c r="H8" t="inlineStr">
        <is>
          <t>Active</t>
        </is>
      </c>
    </row>
    <row r="9">
      <c r="A9" t="inlineStr">
        <is>
          <t>V004</t>
        </is>
      </c>
      <c r="B9" t="inlineStr">
        <is>
          <t>City Packing Solutions</t>
        </is>
      </c>
      <c r="C9" t="inlineStr">
        <is>
          <t>Packing</t>
        </is>
      </c>
      <c r="D9" t="inlineStr">
        <is>
          <t>City Packing Solutions Accounts</t>
        </is>
      </c>
      <c r="E9" t="inlineStr">
        <is>
          <t>30 Days</t>
        </is>
      </c>
      <c r="F9" s="7" t="n">
        <v>500000</v>
      </c>
      <c r="G9" s="7" t="n">
        <v>100000</v>
      </c>
      <c r="H9" t="inlineStr">
        <is>
          <t>Active</t>
        </is>
      </c>
    </row>
    <row r="10">
      <c r="A10" t="inlineStr">
        <is>
          <t>V005</t>
        </is>
      </c>
      <c r="B10" t="inlineStr">
        <is>
          <t>Prime Chemical Suppliers</t>
        </is>
      </c>
      <c r="C10" t="inlineStr">
        <is>
          <t>Chemicals</t>
        </is>
      </c>
      <c r="D10" t="inlineStr">
        <is>
          <t>Prime Chemical Suppliers Accounts</t>
        </is>
      </c>
      <c r="E10" t="inlineStr">
        <is>
          <t>30 Days</t>
        </is>
      </c>
      <c r="F10" s="7" t="n">
        <v>500000</v>
      </c>
      <c r="G10" s="7" t="n">
        <v>100000</v>
      </c>
      <c r="H10" t="inlineStr">
        <is>
          <t>Active</t>
        </is>
      </c>
    </row>
    <row r="11">
      <c r="A11" t="inlineStr">
        <is>
          <t>V006</t>
        </is>
      </c>
      <c r="B11" t="inlineStr">
        <is>
          <t>Metro Electricals</t>
        </is>
      </c>
      <c r="C11" t="inlineStr">
        <is>
          <t>Electrical</t>
        </is>
      </c>
      <c r="D11" t="inlineStr">
        <is>
          <t>Metro Electricals Accounts</t>
        </is>
      </c>
      <c r="E11" t="inlineStr">
        <is>
          <t>30 Days</t>
        </is>
      </c>
      <c r="F11" s="7" t="n">
        <v>500000</v>
      </c>
      <c r="G11" s="7" t="n">
        <v>100000</v>
      </c>
      <c r="H11" t="inlineStr">
        <is>
          <t>Active</t>
        </is>
      </c>
    </row>
    <row r="12">
      <c r="A12" t="inlineStr">
        <is>
          <t>V007</t>
        </is>
      </c>
      <c r="B12" t="inlineStr">
        <is>
          <t>United Spare Parts</t>
        </is>
      </c>
      <c r="C12" t="inlineStr">
        <is>
          <t>Spare Parts</t>
        </is>
      </c>
      <c r="D12" t="inlineStr">
        <is>
          <t>United Spare Parts Accounts</t>
        </is>
      </c>
      <c r="E12" t="inlineStr">
        <is>
          <t>30 Days</t>
        </is>
      </c>
      <c r="F12" s="7" t="n">
        <v>500000</v>
      </c>
      <c r="G12" s="7" t="n">
        <v>100000</v>
      </c>
      <c r="H12" t="inlineStr">
        <is>
          <t>Active</t>
        </is>
      </c>
    </row>
    <row r="13">
      <c r="A13" t="inlineStr">
        <is>
          <t>V008</t>
        </is>
      </c>
      <c r="B13" t="inlineStr">
        <is>
          <t>National Transport Services</t>
        </is>
      </c>
      <c r="C13" t="inlineStr">
        <is>
          <t>Transport</t>
        </is>
      </c>
      <c r="D13" t="inlineStr">
        <is>
          <t>National Transport Services Accounts</t>
        </is>
      </c>
      <c r="E13" t="inlineStr">
        <is>
          <t>30 Days</t>
        </is>
      </c>
      <c r="F13" s="7" t="n">
        <v>500000</v>
      </c>
      <c r="G13" s="7" t="n">
        <v>100000</v>
      </c>
      <c r="H13" t="inlineStr">
        <is>
          <t>Active</t>
        </is>
      </c>
    </row>
    <row r="14">
      <c r="A14" t="inlineStr">
        <is>
          <t>V009</t>
        </is>
      </c>
      <c r="B14" t="inlineStr">
        <is>
          <t>Quality Lubricants</t>
        </is>
      </c>
      <c r="C14" t="inlineStr">
        <is>
          <t>Lubricants</t>
        </is>
      </c>
      <c r="D14" t="inlineStr">
        <is>
          <t>Quality Lubricants Accounts</t>
        </is>
      </c>
      <c r="E14" t="inlineStr">
        <is>
          <t>30 Days</t>
        </is>
      </c>
      <c r="F14" s="7" t="n">
        <v>500000</v>
      </c>
      <c r="G14" s="7" t="n">
        <v>100000</v>
      </c>
      <c r="H14" t="inlineStr">
        <is>
          <t>Active</t>
        </is>
      </c>
    </row>
    <row r="15">
      <c r="A15" t="inlineStr">
        <is>
          <t>V010</t>
        </is>
      </c>
      <c r="B15" t="inlineStr">
        <is>
          <t>Industrial Safety House</t>
        </is>
      </c>
      <c r="C15" t="inlineStr">
        <is>
          <t>Safety</t>
        </is>
      </c>
      <c r="D15" t="inlineStr">
        <is>
          <t>Industrial Safety House Accounts</t>
        </is>
      </c>
      <c r="E15" t="inlineStr">
        <is>
          <t>30 Days</t>
        </is>
      </c>
      <c r="F15" s="7" t="n">
        <v>500000</v>
      </c>
      <c r="G15" s="7" t="n">
        <v>100000</v>
      </c>
      <c r="H15" t="inlineStr">
        <is>
          <t>Active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VENDOR TRANSACTIONS</t>
        </is>
      </c>
    </row>
    <row r="2">
      <c r="A2" s="2" t="inlineStr">
        <is>
          <t>Central entry register — ledgers update from this sheet</t>
        </is>
      </c>
    </row>
    <row r="5">
      <c r="A5" s="6" t="inlineStr">
        <is>
          <t>Date</t>
        </is>
      </c>
      <c r="B5" s="6" t="inlineStr">
        <is>
          <t>Voucher No.</t>
        </is>
      </c>
      <c r="C5" s="6" t="inlineStr">
        <is>
          <t>Vendor ID</t>
        </is>
      </c>
      <c r="D5" s="6" t="inlineStr">
        <is>
          <t>Vendor Name</t>
        </is>
      </c>
      <c r="E5" s="6" t="inlineStr">
        <is>
          <t>Description</t>
        </is>
      </c>
      <c r="F5" s="6" t="inlineStr">
        <is>
          <t>Debit</t>
        </is>
      </c>
      <c r="G5" s="6" t="inlineStr">
        <is>
          <t>Credit</t>
        </is>
      </c>
      <c r="H5" s="6" t="inlineStr">
        <is>
          <t>Reference</t>
        </is>
      </c>
      <c r="I5" s="6" t="inlineStr">
        <is>
          <t>Entered By</t>
        </is>
      </c>
      <c r="J5" s="6" t="inlineStr">
        <is>
          <t>Month</t>
        </is>
      </c>
    </row>
    <row r="6">
      <c r="A6" s="16" t="n">
        <v>46266</v>
      </c>
      <c r="B6" t="inlineStr">
        <is>
          <t>JV-1006</t>
        </is>
      </c>
      <c r="C6" t="inlineStr">
        <is>
          <t>V001</t>
        </is>
      </c>
      <c r="D6">
        <f>IFERROR(XLOOKUP(C6,'Vendor Master'!$A$6:$A$15,'Vendor Master'!$B$6:$B$15,""),"")</f>
        <v/>
      </c>
      <c r="E6" t="inlineStr">
        <is>
          <t>Purchase Invoice</t>
        </is>
      </c>
      <c r="F6" s="7" t="n">
        <v>0</v>
      </c>
      <c r="G6" s="7" t="n">
        <v>35000</v>
      </c>
      <c r="H6" t="inlineStr">
        <is>
          <t>REF-0006</t>
        </is>
      </c>
      <c r="I6" t="inlineStr">
        <is>
          <t>Finance</t>
        </is>
      </c>
      <c r="J6">
        <f>IF(A6="","",TEXT(A6,"mmm-yyyy"))</f>
        <v/>
      </c>
    </row>
    <row r="7">
      <c r="A7" s="16" t="n">
        <v>46267</v>
      </c>
      <c r="B7" t="inlineStr">
        <is>
          <t>JV-1007</t>
        </is>
      </c>
      <c r="C7" t="inlineStr">
        <is>
          <t>V002</t>
        </is>
      </c>
      <c r="D7">
        <f>IFERROR(XLOOKUP(C7,'Vendor Master'!$A$6:$A$15,'Vendor Master'!$B$6:$B$15,""),"")</f>
        <v/>
      </c>
      <c r="E7" t="inlineStr">
        <is>
          <t>Yarn Purchase</t>
        </is>
      </c>
      <c r="F7" s="7" t="n">
        <v>57250</v>
      </c>
      <c r="G7" s="7" t="n">
        <v>0</v>
      </c>
      <c r="H7" t="inlineStr">
        <is>
          <t>REF-0007</t>
        </is>
      </c>
      <c r="I7" t="inlineStr">
        <is>
          <t>Finance</t>
        </is>
      </c>
      <c r="J7">
        <f>IF(A7="","",TEXT(A7,"mmm-yyyy"))</f>
        <v/>
      </c>
    </row>
    <row r="8">
      <c r="A8" s="16" t="n">
        <v>46268</v>
      </c>
      <c r="B8" t="inlineStr">
        <is>
          <t>JV-1008</t>
        </is>
      </c>
      <c r="C8" t="inlineStr">
        <is>
          <t>V003</t>
        </is>
      </c>
      <c r="D8">
        <f>IFERROR(XLOOKUP(C8,'Vendor Master'!$A$6:$A$15,'Vendor Master'!$B$6:$B$15,""),"")</f>
        <v/>
      </c>
      <c r="E8" t="inlineStr">
        <is>
          <t>Spare Parts Purchase</t>
        </is>
      </c>
      <c r="F8" s="7" t="n">
        <v>64500</v>
      </c>
      <c r="G8" s="7" t="n">
        <v>0</v>
      </c>
      <c r="H8" t="inlineStr">
        <is>
          <t>REF-0008</t>
        </is>
      </c>
      <c r="I8" t="inlineStr">
        <is>
          <t>Finance</t>
        </is>
      </c>
      <c r="J8">
        <f>IF(A8="","",TEXT(A8,"mmm-yyyy"))</f>
        <v/>
      </c>
    </row>
    <row r="9">
      <c r="A9" s="16" t="n">
        <v>46269</v>
      </c>
      <c r="B9" t="inlineStr">
        <is>
          <t>JV-1009</t>
        </is>
      </c>
      <c r="C9" t="inlineStr">
        <is>
          <t>V004</t>
        </is>
      </c>
      <c r="D9">
        <f>IFERROR(XLOOKUP(C9,'Vendor Master'!$A$6:$A$15,'Vendor Master'!$B$6:$B$15,""),"")</f>
        <v/>
      </c>
      <c r="E9" t="inlineStr">
        <is>
          <t>Packing Material</t>
        </is>
      </c>
      <c r="F9" s="7" t="n">
        <v>0</v>
      </c>
      <c r="G9" s="7" t="n">
        <v>50000</v>
      </c>
      <c r="H9" t="inlineStr">
        <is>
          <t>REF-0009</t>
        </is>
      </c>
      <c r="I9" t="inlineStr">
        <is>
          <t>Finance</t>
        </is>
      </c>
      <c r="J9">
        <f>IF(A9="","",TEXT(A9,"mmm-yyyy"))</f>
        <v/>
      </c>
    </row>
    <row r="10">
      <c r="A10" s="16" t="n">
        <v>46270</v>
      </c>
      <c r="B10" t="inlineStr">
        <is>
          <t>JV-1010</t>
        </is>
      </c>
      <c r="C10" t="inlineStr">
        <is>
          <t>V005</t>
        </is>
      </c>
      <c r="D10">
        <f>IFERROR(XLOOKUP(C10,'Vendor Master'!$A$6:$A$15,'Vendor Master'!$B$6:$B$15,""),"")</f>
        <v/>
      </c>
      <c r="E10" t="inlineStr">
        <is>
          <t>Service Invoice</t>
        </is>
      </c>
      <c r="F10" s="7" t="n">
        <v>79000</v>
      </c>
      <c r="G10" s="7" t="n">
        <v>0</v>
      </c>
      <c r="H10" t="inlineStr">
        <is>
          <t>REF-0010</t>
        </is>
      </c>
      <c r="I10" t="inlineStr">
        <is>
          <t>Finance</t>
        </is>
      </c>
      <c r="J10">
        <f>IF(A10="","",TEXT(A10,"mmm-yyyy"))</f>
        <v/>
      </c>
    </row>
    <row r="11">
      <c r="A11" s="16" t="n">
        <v>46271</v>
      </c>
      <c r="B11" t="inlineStr">
        <is>
          <t>JV-1011</t>
        </is>
      </c>
      <c r="C11" t="inlineStr">
        <is>
          <t>V006</t>
        </is>
      </c>
      <c r="D11">
        <f>IFERROR(XLOOKUP(C11,'Vendor Master'!$A$6:$A$15,'Vendor Master'!$B$6:$B$15,""),"")</f>
        <v/>
      </c>
      <c r="E11" t="inlineStr">
        <is>
          <t>Payment to Vendor</t>
        </is>
      </c>
      <c r="F11" s="7" t="n">
        <v>86250</v>
      </c>
      <c r="G11" s="7" t="n">
        <v>0</v>
      </c>
      <c r="H11" t="inlineStr">
        <is>
          <t>REF-0011</t>
        </is>
      </c>
      <c r="I11" t="inlineStr">
        <is>
          <t>Finance</t>
        </is>
      </c>
      <c r="J11">
        <f>IF(A11="","",TEXT(A11,"mmm-yyyy"))</f>
        <v/>
      </c>
    </row>
    <row r="12">
      <c r="A12" s="16" t="n">
        <v>46272</v>
      </c>
      <c r="B12" t="inlineStr">
        <is>
          <t>JV-1012</t>
        </is>
      </c>
      <c r="C12" t="inlineStr">
        <is>
          <t>V007</t>
        </is>
      </c>
      <c r="D12">
        <f>IFERROR(XLOOKUP(C12,'Vendor Master'!$A$6:$A$15,'Vendor Master'!$B$6:$B$15,""),"")</f>
        <v/>
      </c>
      <c r="E12" t="inlineStr">
        <is>
          <t>Transport Charges</t>
        </is>
      </c>
      <c r="F12" s="7" t="n">
        <v>0</v>
      </c>
      <c r="G12" s="7" t="n">
        <v>65000</v>
      </c>
      <c r="H12" t="inlineStr">
        <is>
          <t>REF-0012</t>
        </is>
      </c>
      <c r="I12" t="inlineStr">
        <is>
          <t>Finance</t>
        </is>
      </c>
      <c r="J12">
        <f>IF(A12="","",TEXT(A12,"mmm-yyyy"))</f>
        <v/>
      </c>
    </row>
    <row r="13">
      <c r="A13" s="16" t="n">
        <v>46273</v>
      </c>
      <c r="B13" t="inlineStr">
        <is>
          <t>JV-1013</t>
        </is>
      </c>
      <c r="C13" t="inlineStr">
        <is>
          <t>V008</t>
        </is>
      </c>
      <c r="D13">
        <f>IFERROR(XLOOKUP(C13,'Vendor Master'!$A$6:$A$15,'Vendor Master'!$B$6:$B$15,""),"")</f>
        <v/>
      </c>
      <c r="E13" t="inlineStr">
        <is>
          <t>Maintenance Purchase</t>
        </is>
      </c>
      <c r="F13" s="7" t="n">
        <v>100750</v>
      </c>
      <c r="G13" s="7" t="n">
        <v>0</v>
      </c>
      <c r="H13" t="inlineStr">
        <is>
          <t>REF-0013</t>
        </is>
      </c>
      <c r="I13" t="inlineStr">
        <is>
          <t>Finance</t>
        </is>
      </c>
      <c r="J13">
        <f>IF(A13="","",TEXT(A13,"mmm-yyyy"))</f>
        <v/>
      </c>
    </row>
    <row r="14">
      <c r="A14" s="16" t="n">
        <v>46274</v>
      </c>
      <c r="B14" t="inlineStr">
        <is>
          <t>JV-1014</t>
        </is>
      </c>
      <c r="C14" t="inlineStr">
        <is>
          <t>V009</t>
        </is>
      </c>
      <c r="D14">
        <f>IFERROR(XLOOKUP(C14,'Vendor Master'!$A$6:$A$15,'Vendor Master'!$B$6:$B$15,""),"")</f>
        <v/>
      </c>
      <c r="E14" t="inlineStr">
        <is>
          <t>Purchase Invoice</t>
        </is>
      </c>
      <c r="F14" s="7" t="n">
        <v>108000</v>
      </c>
      <c r="G14" s="7" t="n">
        <v>0</v>
      </c>
      <c r="H14" t="inlineStr">
        <is>
          <t>REF-0014</t>
        </is>
      </c>
      <c r="I14" t="inlineStr">
        <is>
          <t>Finance</t>
        </is>
      </c>
      <c r="J14">
        <f>IF(A14="","",TEXT(A14,"mmm-yyyy"))</f>
        <v/>
      </c>
    </row>
    <row r="15">
      <c r="A15" s="16" t="n">
        <v>46275</v>
      </c>
      <c r="B15" t="inlineStr">
        <is>
          <t>JV-1015</t>
        </is>
      </c>
      <c r="C15" t="inlineStr">
        <is>
          <t>V010</t>
        </is>
      </c>
      <c r="D15">
        <f>IFERROR(XLOOKUP(C15,'Vendor Master'!$A$6:$A$15,'Vendor Master'!$B$6:$B$15,""),"")</f>
        <v/>
      </c>
      <c r="E15" t="inlineStr">
        <is>
          <t>Yarn Purchase</t>
        </is>
      </c>
      <c r="F15" s="7" t="n">
        <v>0</v>
      </c>
      <c r="G15" s="7" t="n">
        <v>80000</v>
      </c>
      <c r="H15" t="inlineStr">
        <is>
          <t>REF-0015</t>
        </is>
      </c>
      <c r="I15" t="inlineStr">
        <is>
          <t>Finance</t>
        </is>
      </c>
      <c r="J15">
        <f>IF(A15="","",TEXT(A15,"mmm-yyyy"))</f>
        <v/>
      </c>
    </row>
    <row r="16">
      <c r="A16" s="16" t="n">
        <v>46276</v>
      </c>
      <c r="B16" t="inlineStr">
        <is>
          <t>JV-1016</t>
        </is>
      </c>
      <c r="C16" t="inlineStr">
        <is>
          <t>V001</t>
        </is>
      </c>
      <c r="D16">
        <f>IFERROR(XLOOKUP(C16,'Vendor Master'!$A$6:$A$15,'Vendor Master'!$B$6:$B$15,""),"")</f>
        <v/>
      </c>
      <c r="E16" t="inlineStr">
        <is>
          <t>Spare Parts Purchase</t>
        </is>
      </c>
      <c r="F16" s="7" t="n">
        <v>122500</v>
      </c>
      <c r="G16" s="7" t="n">
        <v>0</v>
      </c>
      <c r="H16" t="inlineStr">
        <is>
          <t>REF-0016</t>
        </is>
      </c>
      <c r="I16" t="inlineStr">
        <is>
          <t>Finance</t>
        </is>
      </c>
      <c r="J16">
        <f>IF(A16="","",TEXT(A16,"mmm-yyyy"))</f>
        <v/>
      </c>
    </row>
    <row r="17">
      <c r="A17" s="16" t="n">
        <v>46277</v>
      </c>
      <c r="B17" t="inlineStr">
        <is>
          <t>JV-1017</t>
        </is>
      </c>
      <c r="C17" t="inlineStr">
        <is>
          <t>V002</t>
        </is>
      </c>
      <c r="D17">
        <f>IFERROR(XLOOKUP(C17,'Vendor Master'!$A$6:$A$15,'Vendor Master'!$B$6:$B$15,""),"")</f>
        <v/>
      </c>
      <c r="E17" t="inlineStr">
        <is>
          <t>Packing Material</t>
        </is>
      </c>
      <c r="F17" s="7" t="n">
        <v>129750</v>
      </c>
      <c r="G17" s="7" t="n">
        <v>0</v>
      </c>
      <c r="H17" t="inlineStr">
        <is>
          <t>REF-0017</t>
        </is>
      </c>
      <c r="I17" t="inlineStr">
        <is>
          <t>Finance</t>
        </is>
      </c>
      <c r="J17">
        <f>IF(A17="","",TEXT(A17,"mmm-yyyy"))</f>
        <v/>
      </c>
    </row>
    <row r="18">
      <c r="A18" s="16" t="n">
        <v>46278</v>
      </c>
      <c r="B18" t="inlineStr">
        <is>
          <t>JV-1018</t>
        </is>
      </c>
      <c r="C18" t="inlineStr">
        <is>
          <t>V003</t>
        </is>
      </c>
      <c r="D18">
        <f>IFERROR(XLOOKUP(C18,'Vendor Master'!$A$6:$A$15,'Vendor Master'!$B$6:$B$15,""),"")</f>
        <v/>
      </c>
      <c r="E18" t="inlineStr">
        <is>
          <t>Service Invoice</t>
        </is>
      </c>
      <c r="F18" s="7" t="n">
        <v>0</v>
      </c>
      <c r="G18" s="7" t="n">
        <v>35000</v>
      </c>
      <c r="H18" t="inlineStr">
        <is>
          <t>REF-0018</t>
        </is>
      </c>
      <c r="I18" t="inlineStr">
        <is>
          <t>Finance</t>
        </is>
      </c>
      <c r="J18">
        <f>IF(A18="","",TEXT(A18,"mmm-yyyy"))</f>
        <v/>
      </c>
    </row>
    <row r="19">
      <c r="A19" s="16" t="n">
        <v>46279</v>
      </c>
      <c r="B19" t="inlineStr">
        <is>
          <t>JV-1019</t>
        </is>
      </c>
      <c r="C19" t="inlineStr">
        <is>
          <t>V004</t>
        </is>
      </c>
      <c r="D19">
        <f>IFERROR(XLOOKUP(C19,'Vendor Master'!$A$6:$A$15,'Vendor Master'!$B$6:$B$15,""),"")</f>
        <v/>
      </c>
      <c r="E19" t="inlineStr">
        <is>
          <t>Payment to Vendor</t>
        </is>
      </c>
      <c r="F19" s="7" t="n">
        <v>64250</v>
      </c>
      <c r="G19" s="7" t="n">
        <v>0</v>
      </c>
      <c r="H19" t="inlineStr">
        <is>
          <t>REF-0019</t>
        </is>
      </c>
      <c r="I19" t="inlineStr">
        <is>
          <t>Finance</t>
        </is>
      </c>
      <c r="J19">
        <f>IF(A19="","",TEXT(A19,"mmm-yyyy"))</f>
        <v/>
      </c>
    </row>
    <row r="20">
      <c r="A20" s="16" t="n">
        <v>46280</v>
      </c>
      <c r="B20" t="inlineStr">
        <is>
          <t>JV-1020</t>
        </is>
      </c>
      <c r="C20" t="inlineStr">
        <is>
          <t>V005</t>
        </is>
      </c>
      <c r="D20">
        <f>IFERROR(XLOOKUP(C20,'Vendor Master'!$A$6:$A$15,'Vendor Master'!$B$6:$B$15,""),"")</f>
        <v/>
      </c>
      <c r="E20" t="inlineStr">
        <is>
          <t>Transport Charges</t>
        </is>
      </c>
      <c r="F20" s="7" t="n">
        <v>71500</v>
      </c>
      <c r="G20" s="7" t="n">
        <v>0</v>
      </c>
      <c r="H20" t="inlineStr">
        <is>
          <t>REF-0020</t>
        </is>
      </c>
      <c r="I20" t="inlineStr">
        <is>
          <t>Finance</t>
        </is>
      </c>
      <c r="J20">
        <f>IF(A20="","",TEXT(A20,"mmm-yyyy"))</f>
        <v/>
      </c>
    </row>
    <row r="21">
      <c r="A21" s="16" t="n">
        <v>46266</v>
      </c>
      <c r="B21" t="inlineStr">
        <is>
          <t>JV-1021</t>
        </is>
      </c>
      <c r="C21" t="inlineStr">
        <is>
          <t>V006</t>
        </is>
      </c>
      <c r="D21">
        <f>IFERROR(XLOOKUP(C21,'Vendor Master'!$A$6:$A$15,'Vendor Master'!$B$6:$B$15,""),"")</f>
        <v/>
      </c>
      <c r="E21" t="inlineStr">
        <is>
          <t>Maintenance Purchase</t>
        </is>
      </c>
      <c r="F21" s="7" t="n">
        <v>0</v>
      </c>
      <c r="G21" s="7" t="n">
        <v>50000</v>
      </c>
      <c r="H21" t="inlineStr">
        <is>
          <t>REF-0021</t>
        </is>
      </c>
      <c r="I21" t="inlineStr">
        <is>
          <t>Finance</t>
        </is>
      </c>
      <c r="J21">
        <f>IF(A21="","",TEXT(A21,"mmm-yyyy"))</f>
        <v/>
      </c>
    </row>
    <row r="22">
      <c r="A22" s="16" t="n">
        <v>46267</v>
      </c>
      <c r="B22" t="inlineStr">
        <is>
          <t>JV-1022</t>
        </is>
      </c>
      <c r="C22" t="inlineStr">
        <is>
          <t>V007</t>
        </is>
      </c>
      <c r="D22">
        <f>IFERROR(XLOOKUP(C22,'Vendor Master'!$A$6:$A$15,'Vendor Master'!$B$6:$B$15,""),"")</f>
        <v/>
      </c>
      <c r="E22" t="inlineStr">
        <is>
          <t>Purchase Invoice</t>
        </is>
      </c>
      <c r="F22" s="7" t="n">
        <v>86000</v>
      </c>
      <c r="G22" s="7" t="n">
        <v>0</v>
      </c>
      <c r="H22" t="inlineStr">
        <is>
          <t>REF-0022</t>
        </is>
      </c>
      <c r="I22" t="inlineStr">
        <is>
          <t>Finance</t>
        </is>
      </c>
      <c r="J22">
        <f>IF(A22="","",TEXT(A22,"mmm-yyyy"))</f>
        <v/>
      </c>
    </row>
    <row r="23">
      <c r="A23" s="16" t="n">
        <v>46268</v>
      </c>
      <c r="B23" t="inlineStr">
        <is>
          <t>JV-1023</t>
        </is>
      </c>
      <c r="C23" t="inlineStr">
        <is>
          <t>V008</t>
        </is>
      </c>
      <c r="D23">
        <f>IFERROR(XLOOKUP(C23,'Vendor Master'!$A$6:$A$15,'Vendor Master'!$B$6:$B$15,""),"")</f>
        <v/>
      </c>
      <c r="E23" t="inlineStr">
        <is>
          <t>Yarn Purchase</t>
        </is>
      </c>
      <c r="F23" s="7" t="n">
        <v>93250</v>
      </c>
      <c r="G23" s="7" t="n">
        <v>0</v>
      </c>
      <c r="H23" t="inlineStr">
        <is>
          <t>REF-0023</t>
        </is>
      </c>
      <c r="I23" t="inlineStr">
        <is>
          <t>Finance</t>
        </is>
      </c>
      <c r="J23">
        <f>IF(A23="","",TEXT(A23,"mmm-yyyy"))</f>
        <v/>
      </c>
    </row>
    <row r="24">
      <c r="A24" s="16" t="n">
        <v>46269</v>
      </c>
      <c r="B24" t="inlineStr">
        <is>
          <t>JV-1024</t>
        </is>
      </c>
      <c r="C24" t="inlineStr">
        <is>
          <t>V009</t>
        </is>
      </c>
      <c r="D24">
        <f>IFERROR(XLOOKUP(C24,'Vendor Master'!$A$6:$A$15,'Vendor Master'!$B$6:$B$15,""),"")</f>
        <v/>
      </c>
      <c r="E24" t="inlineStr">
        <is>
          <t>Spare Parts Purchase</t>
        </is>
      </c>
      <c r="F24" s="7" t="n">
        <v>0</v>
      </c>
      <c r="G24" s="7" t="n">
        <v>65000</v>
      </c>
      <c r="H24" t="inlineStr">
        <is>
          <t>REF-0024</t>
        </is>
      </c>
      <c r="I24" t="inlineStr">
        <is>
          <t>Finance</t>
        </is>
      </c>
      <c r="J24">
        <f>IF(A24="","",TEXT(A24,"mmm-yyyy"))</f>
        <v/>
      </c>
    </row>
    <row r="25">
      <c r="A25" s="16" t="n">
        <v>46270</v>
      </c>
      <c r="B25" t="inlineStr">
        <is>
          <t>JV-1025</t>
        </is>
      </c>
      <c r="C25" t="inlineStr">
        <is>
          <t>V010</t>
        </is>
      </c>
      <c r="D25">
        <f>IFERROR(XLOOKUP(C25,'Vendor Master'!$A$6:$A$15,'Vendor Master'!$B$6:$B$15,""),"")</f>
        <v/>
      </c>
      <c r="E25" t="inlineStr">
        <is>
          <t>Packing Material</t>
        </is>
      </c>
      <c r="F25" s="7" t="n">
        <v>107750</v>
      </c>
      <c r="G25" s="7" t="n">
        <v>0</v>
      </c>
      <c r="H25" t="inlineStr">
        <is>
          <t>REF-0025</t>
        </is>
      </c>
      <c r="I25" t="inlineStr">
        <is>
          <t>Finance</t>
        </is>
      </c>
      <c r="J25">
        <f>IF(A25="","",TEXT(A25,"mmm-yyyy"))</f>
        <v/>
      </c>
    </row>
    <row r="26">
      <c r="D26">
        <f>IFERROR(XLOOKUP(C26,'Vendor Master'!$A$6:$A$15,'Vendor Master'!$B$6:$B$15,""),"")</f>
        <v/>
      </c>
      <c r="J26">
        <f>IF(A26="","",TEXT(A26,"mmm-yyyy"))</f>
        <v/>
      </c>
    </row>
    <row r="27">
      <c r="D27">
        <f>IFERROR(XLOOKUP(C27,'Vendor Master'!$A$6:$A$15,'Vendor Master'!$B$6:$B$15,""),"")</f>
        <v/>
      </c>
      <c r="J27">
        <f>IF(A27="","",TEXT(A27,"mmm-yyyy"))</f>
        <v/>
      </c>
    </row>
    <row r="28">
      <c r="D28">
        <f>IFERROR(XLOOKUP(C28,'Vendor Master'!$A$6:$A$15,'Vendor Master'!$B$6:$B$15,""),"")</f>
        <v/>
      </c>
      <c r="J28">
        <f>IF(A28="","",TEXT(A28,"mmm-yyyy"))</f>
        <v/>
      </c>
    </row>
    <row r="29">
      <c r="D29">
        <f>IFERROR(XLOOKUP(C29,'Vendor Master'!$A$6:$A$15,'Vendor Master'!$B$6:$B$15,""),"")</f>
        <v/>
      </c>
      <c r="J29">
        <f>IF(A29="","",TEXT(A29,"mmm-yyyy"))</f>
        <v/>
      </c>
    </row>
    <row r="30">
      <c r="D30">
        <f>IFERROR(XLOOKUP(C30,'Vendor Master'!$A$6:$A$15,'Vendor Master'!$B$6:$B$15,""),"")</f>
        <v/>
      </c>
      <c r="J30">
        <f>IF(A30="","",TEXT(A30,"mmm-yyyy"))</f>
        <v/>
      </c>
    </row>
    <row r="31">
      <c r="D31">
        <f>IFERROR(XLOOKUP(C31,'Vendor Master'!$A$6:$A$15,'Vendor Master'!$B$6:$B$15,""),"")</f>
        <v/>
      </c>
      <c r="J31">
        <f>IF(A31="","",TEXT(A31,"mmm-yyyy"))</f>
        <v/>
      </c>
    </row>
    <row r="32">
      <c r="D32">
        <f>IFERROR(XLOOKUP(C32,'Vendor Master'!$A$6:$A$15,'Vendor Master'!$B$6:$B$15,""),"")</f>
        <v/>
      </c>
      <c r="J32">
        <f>IF(A32="","",TEXT(A32,"mmm-yyyy"))</f>
        <v/>
      </c>
    </row>
    <row r="33">
      <c r="D33">
        <f>IFERROR(XLOOKUP(C33,'Vendor Master'!$A$6:$A$15,'Vendor Master'!$B$6:$B$15,""),"")</f>
        <v/>
      </c>
      <c r="J33">
        <f>IF(A33="","",TEXT(A33,"mmm-yyyy"))</f>
        <v/>
      </c>
    </row>
    <row r="34">
      <c r="D34">
        <f>IFERROR(XLOOKUP(C34,'Vendor Master'!$A$6:$A$15,'Vendor Master'!$B$6:$B$15,""),"")</f>
        <v/>
      </c>
      <c r="J34">
        <f>IF(A34="","",TEXT(A34,"mmm-yyyy"))</f>
        <v/>
      </c>
    </row>
    <row r="35">
      <c r="D35">
        <f>IFERROR(XLOOKUP(C35,'Vendor Master'!$A$6:$A$15,'Vendor Master'!$B$6:$B$15,""),"")</f>
        <v/>
      </c>
      <c r="J35">
        <f>IF(A35="","",TEXT(A35,"mmm-yyyy"))</f>
        <v/>
      </c>
    </row>
    <row r="36">
      <c r="D36">
        <f>IFERROR(XLOOKUP(C36,'Vendor Master'!$A$6:$A$15,'Vendor Master'!$B$6:$B$15,""),"")</f>
        <v/>
      </c>
      <c r="J36">
        <f>IF(A36="","",TEXT(A36,"mmm-yyyy"))</f>
        <v/>
      </c>
    </row>
    <row r="37">
      <c r="D37">
        <f>IFERROR(XLOOKUP(C37,'Vendor Master'!$A$6:$A$15,'Vendor Master'!$B$6:$B$15,""),"")</f>
        <v/>
      </c>
      <c r="J37">
        <f>IF(A37="","",TEXT(A37,"mmm-yyyy"))</f>
        <v/>
      </c>
    </row>
    <row r="38">
      <c r="D38">
        <f>IFERROR(XLOOKUP(C38,'Vendor Master'!$A$6:$A$15,'Vendor Master'!$B$6:$B$15,""),"")</f>
        <v/>
      </c>
      <c r="J38">
        <f>IF(A38="","",TEXT(A38,"mmm-yyyy"))</f>
        <v/>
      </c>
    </row>
    <row r="39">
      <c r="D39">
        <f>IFERROR(XLOOKUP(C39,'Vendor Master'!$A$6:$A$15,'Vendor Master'!$B$6:$B$15,""),"")</f>
        <v/>
      </c>
      <c r="J39">
        <f>IF(A39="","",TEXT(A39,"mmm-yyyy"))</f>
        <v/>
      </c>
    </row>
    <row r="40">
      <c r="D40">
        <f>IFERROR(XLOOKUP(C40,'Vendor Master'!$A$6:$A$15,'Vendor Master'!$B$6:$B$15,""),"")</f>
        <v/>
      </c>
      <c r="J40">
        <f>IF(A40="","",TEXT(A40,"mmm-yyyy"))</f>
        <v/>
      </c>
    </row>
    <row r="41">
      <c r="D41">
        <f>IFERROR(XLOOKUP(C41,'Vendor Master'!$A$6:$A$15,'Vendor Master'!$B$6:$B$15,""),"")</f>
        <v/>
      </c>
      <c r="J41">
        <f>IF(A41="","",TEXT(A41,"mmm-yyyy"))</f>
        <v/>
      </c>
    </row>
    <row r="42">
      <c r="D42">
        <f>IFERROR(XLOOKUP(C42,'Vendor Master'!$A$6:$A$15,'Vendor Master'!$B$6:$B$15,""),"")</f>
        <v/>
      </c>
      <c r="J42">
        <f>IF(A42="","",TEXT(A42,"mmm-yyyy"))</f>
        <v/>
      </c>
    </row>
    <row r="43">
      <c r="D43">
        <f>IFERROR(XLOOKUP(C43,'Vendor Master'!$A$6:$A$15,'Vendor Master'!$B$6:$B$15,""),"")</f>
        <v/>
      </c>
      <c r="J43">
        <f>IF(A43="","",TEXT(A43,"mmm-yyyy"))</f>
        <v/>
      </c>
    </row>
    <row r="44">
      <c r="D44">
        <f>IFERROR(XLOOKUP(C44,'Vendor Master'!$A$6:$A$15,'Vendor Master'!$B$6:$B$15,""),"")</f>
        <v/>
      </c>
      <c r="J44">
        <f>IF(A44="","",TEXT(A44,"mmm-yyyy"))</f>
        <v/>
      </c>
    </row>
    <row r="45">
      <c r="D45">
        <f>IFERROR(XLOOKUP(C45,'Vendor Master'!$A$6:$A$15,'Vendor Master'!$B$6:$B$15,""),"")</f>
        <v/>
      </c>
      <c r="J45">
        <f>IF(A45="","",TEXT(A45,"mmm-yyyy"))</f>
        <v/>
      </c>
    </row>
    <row r="46">
      <c r="D46">
        <f>IFERROR(XLOOKUP(C46,'Vendor Master'!$A$6:$A$15,'Vendor Master'!$B$6:$B$15,""),"")</f>
        <v/>
      </c>
      <c r="J46">
        <f>IF(A46="","",TEXT(A46,"mmm-yyyy"))</f>
        <v/>
      </c>
    </row>
    <row r="47">
      <c r="D47">
        <f>IFERROR(XLOOKUP(C47,'Vendor Master'!$A$6:$A$15,'Vendor Master'!$B$6:$B$15,""),"")</f>
        <v/>
      </c>
      <c r="J47">
        <f>IF(A47="","",TEXT(A47,"mmm-yyyy"))</f>
        <v/>
      </c>
    </row>
    <row r="48">
      <c r="D48">
        <f>IFERROR(XLOOKUP(C48,'Vendor Master'!$A$6:$A$15,'Vendor Master'!$B$6:$B$15,""),"")</f>
        <v/>
      </c>
      <c r="J48">
        <f>IF(A48="","",TEXT(A48,"mmm-yyyy"))</f>
        <v/>
      </c>
    </row>
    <row r="49">
      <c r="D49">
        <f>IFERROR(XLOOKUP(C49,'Vendor Master'!$A$6:$A$15,'Vendor Master'!$B$6:$B$15,""),"")</f>
        <v/>
      </c>
      <c r="J49">
        <f>IF(A49="","",TEXT(A49,"mmm-yyyy"))</f>
        <v/>
      </c>
    </row>
    <row r="50">
      <c r="D50">
        <f>IFERROR(XLOOKUP(C50,'Vendor Master'!$A$6:$A$15,'Vendor Master'!$B$6:$B$15,""),"")</f>
        <v/>
      </c>
      <c r="J50">
        <f>IF(A50="","",TEXT(A50,"mmm-yyyy"))</f>
        <v/>
      </c>
    </row>
    <row r="51">
      <c r="D51">
        <f>IFERROR(XLOOKUP(C51,'Vendor Master'!$A$6:$A$15,'Vendor Master'!$B$6:$B$15,""),"")</f>
        <v/>
      </c>
      <c r="J51">
        <f>IF(A51="","",TEXT(A51,"mmm-yyyy"))</f>
        <v/>
      </c>
    </row>
    <row r="52">
      <c r="D52">
        <f>IFERROR(XLOOKUP(C52,'Vendor Master'!$A$6:$A$15,'Vendor Master'!$B$6:$B$15,""),"")</f>
        <v/>
      </c>
      <c r="J52">
        <f>IF(A52="","",TEXT(A52,"mmm-yyyy"))</f>
        <v/>
      </c>
    </row>
    <row r="53">
      <c r="D53">
        <f>IFERROR(XLOOKUP(C53,'Vendor Master'!$A$6:$A$15,'Vendor Master'!$B$6:$B$15,""),"")</f>
        <v/>
      </c>
      <c r="J53">
        <f>IF(A53="","",TEXT(A53,"mmm-yyyy"))</f>
        <v/>
      </c>
    </row>
    <row r="54">
      <c r="D54">
        <f>IFERROR(XLOOKUP(C54,'Vendor Master'!$A$6:$A$15,'Vendor Master'!$B$6:$B$15,""),"")</f>
        <v/>
      </c>
      <c r="J54">
        <f>IF(A54="","",TEXT(A54,"mmm-yyyy"))</f>
        <v/>
      </c>
    </row>
    <row r="55">
      <c r="D55">
        <f>IFERROR(XLOOKUP(C55,'Vendor Master'!$A$6:$A$15,'Vendor Master'!$B$6:$B$15,""),"")</f>
        <v/>
      </c>
      <c r="J55">
        <f>IF(A55="","",TEXT(A55,"mmm-yyyy"))</f>
        <v/>
      </c>
    </row>
    <row r="56">
      <c r="D56">
        <f>IFERROR(XLOOKUP(C56,'Vendor Master'!$A$6:$A$15,'Vendor Master'!$B$6:$B$15,""),"")</f>
        <v/>
      </c>
      <c r="J56">
        <f>IF(A56="","",TEXT(A56,"mmm-yyyy"))</f>
        <v/>
      </c>
    </row>
    <row r="57">
      <c r="D57">
        <f>IFERROR(XLOOKUP(C57,'Vendor Master'!$A$6:$A$15,'Vendor Master'!$B$6:$B$15,""),"")</f>
        <v/>
      </c>
      <c r="J57">
        <f>IF(A57="","",TEXT(A57,"mmm-yyyy"))</f>
        <v/>
      </c>
    </row>
    <row r="58">
      <c r="D58">
        <f>IFERROR(XLOOKUP(C58,'Vendor Master'!$A$6:$A$15,'Vendor Master'!$B$6:$B$15,""),"")</f>
        <v/>
      </c>
      <c r="J58">
        <f>IF(A58="","",TEXT(A58,"mmm-yyyy"))</f>
        <v/>
      </c>
    </row>
    <row r="59">
      <c r="D59">
        <f>IFERROR(XLOOKUP(C59,'Vendor Master'!$A$6:$A$15,'Vendor Master'!$B$6:$B$15,""),"")</f>
        <v/>
      </c>
      <c r="J59">
        <f>IF(A59="","",TEXT(A59,"mmm-yyyy"))</f>
        <v/>
      </c>
    </row>
    <row r="60">
      <c r="D60">
        <f>IFERROR(XLOOKUP(C60,'Vendor Master'!$A$6:$A$15,'Vendor Master'!$B$6:$B$15,""),"")</f>
        <v/>
      </c>
      <c r="J60">
        <f>IF(A60="","",TEXT(A60,"mmm-yyyy"))</f>
        <v/>
      </c>
    </row>
    <row r="61">
      <c r="D61">
        <f>IFERROR(XLOOKUP(C61,'Vendor Master'!$A$6:$A$15,'Vendor Master'!$B$6:$B$15,""),"")</f>
        <v/>
      </c>
      <c r="J61">
        <f>IF(A61="","",TEXT(A61,"mmm-yyyy"))</f>
        <v/>
      </c>
    </row>
    <row r="62">
      <c r="D62">
        <f>IFERROR(XLOOKUP(C62,'Vendor Master'!$A$6:$A$15,'Vendor Master'!$B$6:$B$15,""),"")</f>
        <v/>
      </c>
      <c r="J62">
        <f>IF(A62="","",TEXT(A62,"mmm-yyyy"))</f>
        <v/>
      </c>
    </row>
    <row r="63">
      <c r="D63">
        <f>IFERROR(XLOOKUP(C63,'Vendor Master'!$A$6:$A$15,'Vendor Master'!$B$6:$B$15,""),"")</f>
        <v/>
      </c>
      <c r="J63">
        <f>IF(A63="","",TEXT(A63,"mmm-yyyy"))</f>
        <v/>
      </c>
    </row>
    <row r="64">
      <c r="D64">
        <f>IFERROR(XLOOKUP(C64,'Vendor Master'!$A$6:$A$15,'Vendor Master'!$B$6:$B$15,""),"")</f>
        <v/>
      </c>
      <c r="J64">
        <f>IF(A64="","",TEXT(A64,"mmm-yyyy"))</f>
        <v/>
      </c>
    </row>
    <row r="65">
      <c r="D65">
        <f>IFERROR(XLOOKUP(C65,'Vendor Master'!$A$6:$A$15,'Vendor Master'!$B$6:$B$15,""),"")</f>
        <v/>
      </c>
      <c r="J65">
        <f>IF(A65="","",TEXT(A65,"mmm-yyyy"))</f>
        <v/>
      </c>
    </row>
    <row r="66">
      <c r="D66">
        <f>IFERROR(XLOOKUP(C66,'Vendor Master'!$A$6:$A$15,'Vendor Master'!$B$6:$B$15,""),"")</f>
        <v/>
      </c>
      <c r="J66">
        <f>IF(A66="","",TEXT(A66,"mmm-yyyy"))</f>
        <v/>
      </c>
    </row>
    <row r="67">
      <c r="D67">
        <f>IFERROR(XLOOKUP(C67,'Vendor Master'!$A$6:$A$15,'Vendor Master'!$B$6:$B$15,""),"")</f>
        <v/>
      </c>
      <c r="J67">
        <f>IF(A67="","",TEXT(A67,"mmm-yyyy"))</f>
        <v/>
      </c>
    </row>
    <row r="68">
      <c r="D68">
        <f>IFERROR(XLOOKUP(C68,'Vendor Master'!$A$6:$A$15,'Vendor Master'!$B$6:$B$15,""),"")</f>
        <v/>
      </c>
      <c r="J68">
        <f>IF(A68="","",TEXT(A68,"mmm-yyyy"))</f>
        <v/>
      </c>
    </row>
    <row r="69">
      <c r="D69">
        <f>IFERROR(XLOOKUP(C69,'Vendor Master'!$A$6:$A$15,'Vendor Master'!$B$6:$B$15,""),"")</f>
        <v/>
      </c>
      <c r="J69">
        <f>IF(A69="","",TEXT(A69,"mmm-yyyy"))</f>
        <v/>
      </c>
    </row>
    <row r="70">
      <c r="D70">
        <f>IFERROR(XLOOKUP(C70,'Vendor Master'!$A$6:$A$15,'Vendor Master'!$B$6:$B$15,""),"")</f>
        <v/>
      </c>
      <c r="J70">
        <f>IF(A70="","",TEXT(A70,"mmm-yyyy"))</f>
        <v/>
      </c>
    </row>
    <row r="71">
      <c r="D71">
        <f>IFERROR(XLOOKUP(C71,'Vendor Master'!$A$6:$A$15,'Vendor Master'!$B$6:$B$15,""),"")</f>
        <v/>
      </c>
      <c r="J71">
        <f>IF(A71="","",TEXT(A71,"mmm-yyyy"))</f>
        <v/>
      </c>
    </row>
    <row r="72">
      <c r="D72">
        <f>IFERROR(XLOOKUP(C72,'Vendor Master'!$A$6:$A$15,'Vendor Master'!$B$6:$B$15,""),"")</f>
        <v/>
      </c>
      <c r="J72">
        <f>IF(A72="","",TEXT(A72,"mmm-yyyy"))</f>
        <v/>
      </c>
    </row>
    <row r="73">
      <c r="D73">
        <f>IFERROR(XLOOKUP(C73,'Vendor Master'!$A$6:$A$15,'Vendor Master'!$B$6:$B$15,""),"")</f>
        <v/>
      </c>
      <c r="J73">
        <f>IF(A73="","",TEXT(A73,"mmm-yyyy"))</f>
        <v/>
      </c>
    </row>
    <row r="74">
      <c r="D74">
        <f>IFERROR(XLOOKUP(C74,'Vendor Master'!$A$6:$A$15,'Vendor Master'!$B$6:$B$15,""),"")</f>
        <v/>
      </c>
      <c r="J74">
        <f>IF(A74="","",TEXT(A74,"mmm-yyyy"))</f>
        <v/>
      </c>
    </row>
    <row r="75">
      <c r="D75">
        <f>IFERROR(XLOOKUP(C75,'Vendor Master'!$A$6:$A$15,'Vendor Master'!$B$6:$B$15,""),"")</f>
        <v/>
      </c>
      <c r="J75">
        <f>IF(A75="","",TEXT(A75,"mmm-yyyy"))</f>
        <v/>
      </c>
    </row>
    <row r="76">
      <c r="D76">
        <f>IFERROR(XLOOKUP(C76,'Vendor Master'!$A$6:$A$15,'Vendor Master'!$B$6:$B$15,""),"")</f>
        <v/>
      </c>
      <c r="J76">
        <f>IF(A76="","",TEXT(A76,"mmm-yyyy"))</f>
        <v/>
      </c>
    </row>
    <row r="77">
      <c r="D77">
        <f>IFERROR(XLOOKUP(C77,'Vendor Master'!$A$6:$A$15,'Vendor Master'!$B$6:$B$15,""),"")</f>
        <v/>
      </c>
      <c r="J77">
        <f>IF(A77="","",TEXT(A77,"mmm-yyyy"))</f>
        <v/>
      </c>
    </row>
    <row r="78">
      <c r="D78">
        <f>IFERROR(XLOOKUP(C78,'Vendor Master'!$A$6:$A$15,'Vendor Master'!$B$6:$B$15,""),"")</f>
        <v/>
      </c>
      <c r="J78">
        <f>IF(A78="","",TEXT(A78,"mmm-yyyy"))</f>
        <v/>
      </c>
    </row>
    <row r="79">
      <c r="D79">
        <f>IFERROR(XLOOKUP(C79,'Vendor Master'!$A$6:$A$15,'Vendor Master'!$B$6:$B$15,""),"")</f>
        <v/>
      </c>
      <c r="J79">
        <f>IF(A79="","",TEXT(A79,"mmm-yyyy"))</f>
        <v/>
      </c>
    </row>
    <row r="80">
      <c r="D80">
        <f>IFERROR(XLOOKUP(C80,'Vendor Master'!$A$6:$A$15,'Vendor Master'!$B$6:$B$15,""),"")</f>
        <v/>
      </c>
      <c r="J80">
        <f>IF(A80="","",TEXT(A80,"mmm-yyyy"))</f>
        <v/>
      </c>
    </row>
    <row r="81">
      <c r="D81">
        <f>IFERROR(XLOOKUP(C81,'Vendor Master'!$A$6:$A$15,'Vendor Master'!$B$6:$B$15,""),"")</f>
        <v/>
      </c>
      <c r="J81">
        <f>IF(A81="","",TEXT(A81,"mmm-yyyy"))</f>
        <v/>
      </c>
    </row>
    <row r="82">
      <c r="D82">
        <f>IFERROR(XLOOKUP(C82,'Vendor Master'!$A$6:$A$15,'Vendor Master'!$B$6:$B$15,""),"")</f>
        <v/>
      </c>
      <c r="J82">
        <f>IF(A82="","",TEXT(A82,"mmm-yyyy"))</f>
        <v/>
      </c>
    </row>
    <row r="83">
      <c r="D83">
        <f>IFERROR(XLOOKUP(C83,'Vendor Master'!$A$6:$A$15,'Vendor Master'!$B$6:$B$15,""),"")</f>
        <v/>
      </c>
      <c r="J83">
        <f>IF(A83="","",TEXT(A83,"mmm-yyyy"))</f>
        <v/>
      </c>
    </row>
    <row r="84">
      <c r="D84">
        <f>IFERROR(XLOOKUP(C84,'Vendor Master'!$A$6:$A$15,'Vendor Master'!$B$6:$B$15,""),"")</f>
        <v/>
      </c>
      <c r="J84">
        <f>IF(A84="","",TEXT(A84,"mmm-yyyy"))</f>
        <v/>
      </c>
    </row>
    <row r="85">
      <c r="D85">
        <f>IFERROR(XLOOKUP(C85,'Vendor Master'!$A$6:$A$15,'Vendor Master'!$B$6:$B$15,""),"")</f>
        <v/>
      </c>
      <c r="J85">
        <f>IF(A85="","",TEXT(A85,"mmm-yyyy"))</f>
        <v/>
      </c>
    </row>
    <row r="86">
      <c r="D86">
        <f>IFERROR(XLOOKUP(C86,'Vendor Master'!$A$6:$A$15,'Vendor Master'!$B$6:$B$15,""),"")</f>
        <v/>
      </c>
      <c r="J86">
        <f>IF(A86="","",TEXT(A86,"mmm-yyyy"))</f>
        <v/>
      </c>
    </row>
    <row r="87">
      <c r="D87">
        <f>IFERROR(XLOOKUP(C87,'Vendor Master'!$A$6:$A$15,'Vendor Master'!$B$6:$B$15,""),"")</f>
        <v/>
      </c>
      <c r="J87">
        <f>IF(A87="","",TEXT(A87,"mmm-yyyy"))</f>
        <v/>
      </c>
    </row>
    <row r="88">
      <c r="D88">
        <f>IFERROR(XLOOKUP(C88,'Vendor Master'!$A$6:$A$15,'Vendor Master'!$B$6:$B$15,""),"")</f>
        <v/>
      </c>
      <c r="J88">
        <f>IF(A88="","",TEXT(A88,"mmm-yyyy"))</f>
        <v/>
      </c>
    </row>
    <row r="89">
      <c r="D89">
        <f>IFERROR(XLOOKUP(C89,'Vendor Master'!$A$6:$A$15,'Vendor Master'!$B$6:$B$15,""),"")</f>
        <v/>
      </c>
      <c r="J89">
        <f>IF(A89="","",TEXT(A89,"mmm-yyyy"))</f>
        <v/>
      </c>
    </row>
    <row r="90">
      <c r="D90">
        <f>IFERROR(XLOOKUP(C90,'Vendor Master'!$A$6:$A$15,'Vendor Master'!$B$6:$B$15,""),"")</f>
        <v/>
      </c>
      <c r="J90">
        <f>IF(A90="","",TEXT(A90,"mmm-yyyy"))</f>
        <v/>
      </c>
    </row>
    <row r="91">
      <c r="D91">
        <f>IFERROR(XLOOKUP(C91,'Vendor Master'!$A$6:$A$15,'Vendor Master'!$B$6:$B$15,""),"")</f>
        <v/>
      </c>
      <c r="J91">
        <f>IF(A91="","",TEXT(A91,"mmm-yyyy"))</f>
        <v/>
      </c>
    </row>
    <row r="92">
      <c r="D92">
        <f>IFERROR(XLOOKUP(C92,'Vendor Master'!$A$6:$A$15,'Vendor Master'!$B$6:$B$15,""),"")</f>
        <v/>
      </c>
      <c r="J92">
        <f>IF(A92="","",TEXT(A92,"mmm-yyyy"))</f>
        <v/>
      </c>
    </row>
    <row r="93">
      <c r="D93">
        <f>IFERROR(XLOOKUP(C93,'Vendor Master'!$A$6:$A$15,'Vendor Master'!$B$6:$B$15,""),"")</f>
        <v/>
      </c>
      <c r="J93">
        <f>IF(A93="","",TEXT(A93,"mmm-yyyy"))</f>
        <v/>
      </c>
    </row>
    <row r="94">
      <c r="D94">
        <f>IFERROR(XLOOKUP(C94,'Vendor Master'!$A$6:$A$15,'Vendor Master'!$B$6:$B$15,""),"")</f>
        <v/>
      </c>
      <c r="J94">
        <f>IF(A94="","",TEXT(A94,"mmm-yyyy"))</f>
        <v/>
      </c>
    </row>
    <row r="95">
      <c r="D95">
        <f>IFERROR(XLOOKUP(C95,'Vendor Master'!$A$6:$A$15,'Vendor Master'!$B$6:$B$15,""),"")</f>
        <v/>
      </c>
      <c r="J95">
        <f>IF(A95="","",TEXT(A95,"mmm-yyyy"))</f>
        <v/>
      </c>
    </row>
    <row r="96">
      <c r="D96">
        <f>IFERROR(XLOOKUP(C96,'Vendor Master'!$A$6:$A$15,'Vendor Master'!$B$6:$B$15,""),"")</f>
        <v/>
      </c>
      <c r="J96">
        <f>IF(A96="","",TEXT(A96,"mmm-yyyy"))</f>
        <v/>
      </c>
    </row>
    <row r="97">
      <c r="D97">
        <f>IFERROR(XLOOKUP(C97,'Vendor Master'!$A$6:$A$15,'Vendor Master'!$B$6:$B$15,""),"")</f>
        <v/>
      </c>
      <c r="J97">
        <f>IF(A97="","",TEXT(A97,"mmm-yyyy"))</f>
        <v/>
      </c>
    </row>
    <row r="98">
      <c r="D98">
        <f>IFERROR(XLOOKUP(C98,'Vendor Master'!$A$6:$A$15,'Vendor Master'!$B$6:$B$15,""),"")</f>
        <v/>
      </c>
      <c r="J98">
        <f>IF(A98="","",TEXT(A98,"mmm-yyyy"))</f>
        <v/>
      </c>
    </row>
    <row r="99">
      <c r="D99">
        <f>IFERROR(XLOOKUP(C99,'Vendor Master'!$A$6:$A$15,'Vendor Master'!$B$6:$B$15,""),"")</f>
        <v/>
      </c>
      <c r="J99">
        <f>IF(A99="","",TEXT(A99,"mmm-yyyy"))</f>
        <v/>
      </c>
    </row>
    <row r="100">
      <c r="D100">
        <f>IFERROR(XLOOKUP(C100,'Vendor Master'!$A$6:$A$15,'Vendor Master'!$B$6:$B$15,""),"")</f>
        <v/>
      </c>
      <c r="J100">
        <f>IF(A100="","",TEXT(A100,"mmm-yyyy"))</f>
        <v/>
      </c>
    </row>
    <row r="101">
      <c r="D101">
        <f>IFERROR(XLOOKUP(C101,'Vendor Master'!$A$6:$A$15,'Vendor Master'!$B$6:$B$15,""),"")</f>
        <v/>
      </c>
      <c r="J101">
        <f>IF(A101="","",TEXT(A101,"mmm-yyyy"))</f>
        <v/>
      </c>
    </row>
    <row r="102">
      <c r="D102">
        <f>IFERROR(XLOOKUP(C102,'Vendor Master'!$A$6:$A$15,'Vendor Master'!$B$6:$B$15,""),"")</f>
        <v/>
      </c>
      <c r="J102">
        <f>IF(A102="","",TEXT(A102,"mmm-yyyy"))</f>
        <v/>
      </c>
    </row>
    <row r="103">
      <c r="D103">
        <f>IFERROR(XLOOKUP(C103,'Vendor Master'!$A$6:$A$15,'Vendor Master'!$B$6:$B$15,""),"")</f>
        <v/>
      </c>
      <c r="J103">
        <f>IF(A103="","",TEXT(A103,"mmm-yyyy"))</f>
        <v/>
      </c>
    </row>
    <row r="104">
      <c r="D104">
        <f>IFERROR(XLOOKUP(C104,'Vendor Master'!$A$6:$A$15,'Vendor Master'!$B$6:$B$15,""),"")</f>
        <v/>
      </c>
      <c r="J104">
        <f>IF(A104="","",TEXT(A104,"mmm-yyyy"))</f>
        <v/>
      </c>
    </row>
    <row r="105">
      <c r="D105">
        <f>IFERROR(XLOOKUP(C105,'Vendor Master'!$A$6:$A$15,'Vendor Master'!$B$6:$B$15,""),"")</f>
        <v/>
      </c>
      <c r="J105">
        <f>IF(A105="","",TEXT(A105,"mmm-yyyy"))</f>
        <v/>
      </c>
    </row>
    <row r="106">
      <c r="D106">
        <f>IFERROR(XLOOKUP(C106,'Vendor Master'!$A$6:$A$15,'Vendor Master'!$B$6:$B$15,""),"")</f>
        <v/>
      </c>
      <c r="J106">
        <f>IF(A106="","",TEXT(A106,"mmm-yyyy"))</f>
        <v/>
      </c>
    </row>
    <row r="107">
      <c r="D107">
        <f>IFERROR(XLOOKUP(C107,'Vendor Master'!$A$6:$A$15,'Vendor Master'!$B$6:$B$15,""),"")</f>
        <v/>
      </c>
      <c r="J107">
        <f>IF(A107="","",TEXT(A107,"mmm-yyyy"))</f>
        <v/>
      </c>
    </row>
    <row r="108">
      <c r="D108">
        <f>IFERROR(XLOOKUP(C108,'Vendor Master'!$A$6:$A$15,'Vendor Master'!$B$6:$B$15,""),"")</f>
        <v/>
      </c>
      <c r="J108">
        <f>IF(A108="","",TEXT(A108,"mmm-yyyy"))</f>
        <v/>
      </c>
    </row>
    <row r="109">
      <c r="D109">
        <f>IFERROR(XLOOKUP(C109,'Vendor Master'!$A$6:$A$15,'Vendor Master'!$B$6:$B$15,""),"")</f>
        <v/>
      </c>
      <c r="J109">
        <f>IF(A109="","",TEXT(A109,"mmm-yyyy"))</f>
        <v/>
      </c>
    </row>
    <row r="110">
      <c r="D110">
        <f>IFERROR(XLOOKUP(C110,'Vendor Master'!$A$6:$A$15,'Vendor Master'!$B$6:$B$15,""),"")</f>
        <v/>
      </c>
      <c r="J110">
        <f>IF(A110="","",TEXT(A110,"mmm-yyyy"))</f>
        <v/>
      </c>
    </row>
    <row r="111">
      <c r="D111">
        <f>IFERROR(XLOOKUP(C111,'Vendor Master'!$A$6:$A$15,'Vendor Master'!$B$6:$B$15,""),"")</f>
        <v/>
      </c>
      <c r="J111">
        <f>IF(A111="","",TEXT(A111,"mmm-yyyy"))</f>
        <v/>
      </c>
    </row>
    <row r="112">
      <c r="D112">
        <f>IFERROR(XLOOKUP(C112,'Vendor Master'!$A$6:$A$15,'Vendor Master'!$B$6:$B$15,""),"")</f>
        <v/>
      </c>
      <c r="J112">
        <f>IF(A112="","",TEXT(A112,"mmm-yyyy"))</f>
        <v/>
      </c>
    </row>
    <row r="113">
      <c r="D113">
        <f>IFERROR(XLOOKUP(C113,'Vendor Master'!$A$6:$A$15,'Vendor Master'!$B$6:$B$15,""),"")</f>
        <v/>
      </c>
      <c r="J113">
        <f>IF(A113="","",TEXT(A113,"mmm-yyyy"))</f>
        <v/>
      </c>
    </row>
    <row r="114">
      <c r="D114">
        <f>IFERROR(XLOOKUP(C114,'Vendor Master'!$A$6:$A$15,'Vendor Master'!$B$6:$B$15,""),"")</f>
        <v/>
      </c>
      <c r="J114">
        <f>IF(A114="","",TEXT(A114,"mmm-yyyy"))</f>
        <v/>
      </c>
    </row>
    <row r="115">
      <c r="D115">
        <f>IFERROR(XLOOKUP(C115,'Vendor Master'!$A$6:$A$15,'Vendor Master'!$B$6:$B$15,""),"")</f>
        <v/>
      </c>
      <c r="J115">
        <f>IF(A115="","",TEXT(A115,"mmm-yyyy"))</f>
        <v/>
      </c>
    </row>
    <row r="116">
      <c r="D116">
        <f>IFERROR(XLOOKUP(C116,'Vendor Master'!$A$6:$A$15,'Vendor Master'!$B$6:$B$15,""),"")</f>
        <v/>
      </c>
      <c r="J116">
        <f>IF(A116="","",TEXT(A116,"mmm-yyyy"))</f>
        <v/>
      </c>
    </row>
    <row r="117">
      <c r="D117">
        <f>IFERROR(XLOOKUP(C117,'Vendor Master'!$A$6:$A$15,'Vendor Master'!$B$6:$B$15,""),"")</f>
        <v/>
      </c>
      <c r="J117">
        <f>IF(A117="","",TEXT(A117,"mmm-yyyy"))</f>
        <v/>
      </c>
    </row>
    <row r="118">
      <c r="D118">
        <f>IFERROR(XLOOKUP(C118,'Vendor Master'!$A$6:$A$15,'Vendor Master'!$B$6:$B$15,""),"")</f>
        <v/>
      </c>
      <c r="J118">
        <f>IF(A118="","",TEXT(A118,"mmm-yyyy"))</f>
        <v/>
      </c>
    </row>
    <row r="119">
      <c r="D119">
        <f>IFERROR(XLOOKUP(C119,'Vendor Master'!$A$6:$A$15,'Vendor Master'!$B$6:$B$15,""),"")</f>
        <v/>
      </c>
      <c r="J119">
        <f>IF(A119="","",TEXT(A119,"mmm-yyyy"))</f>
        <v/>
      </c>
    </row>
    <row r="120">
      <c r="D120">
        <f>IFERROR(XLOOKUP(C120,'Vendor Master'!$A$6:$A$15,'Vendor Master'!$B$6:$B$15,""),"")</f>
        <v/>
      </c>
      <c r="J120">
        <f>IF(A120="","",TEXT(A120,"mmm-yyyy"))</f>
        <v/>
      </c>
    </row>
    <row r="121">
      <c r="D121">
        <f>IFERROR(XLOOKUP(C121,'Vendor Master'!$A$6:$A$15,'Vendor Master'!$B$6:$B$15,""),"")</f>
        <v/>
      </c>
      <c r="J121">
        <f>IF(A121="","",TEXT(A121,"mmm-yyyy"))</f>
        <v/>
      </c>
    </row>
    <row r="122">
      <c r="D122">
        <f>IFERROR(XLOOKUP(C122,'Vendor Master'!$A$6:$A$15,'Vendor Master'!$B$6:$B$15,""),"")</f>
        <v/>
      </c>
      <c r="J122">
        <f>IF(A122="","",TEXT(A122,"mmm-yyyy"))</f>
        <v/>
      </c>
    </row>
    <row r="123">
      <c r="D123">
        <f>IFERROR(XLOOKUP(C123,'Vendor Master'!$A$6:$A$15,'Vendor Master'!$B$6:$B$15,""),"")</f>
        <v/>
      </c>
      <c r="J123">
        <f>IF(A123="","",TEXT(A123,"mmm-yyyy"))</f>
        <v/>
      </c>
    </row>
    <row r="124">
      <c r="D124">
        <f>IFERROR(XLOOKUP(C124,'Vendor Master'!$A$6:$A$15,'Vendor Master'!$B$6:$B$15,""),"")</f>
        <v/>
      </c>
      <c r="J124">
        <f>IF(A124="","",TEXT(A124,"mmm-yyyy"))</f>
        <v/>
      </c>
    </row>
    <row r="125">
      <c r="D125">
        <f>IFERROR(XLOOKUP(C125,'Vendor Master'!$A$6:$A$15,'Vendor Master'!$B$6:$B$15,""),"")</f>
        <v/>
      </c>
      <c r="J125">
        <f>IF(A125="","",TEXT(A125,"mmm-yyyy"))</f>
        <v/>
      </c>
    </row>
    <row r="126">
      <c r="D126">
        <f>IFERROR(XLOOKUP(C126,'Vendor Master'!$A$6:$A$15,'Vendor Master'!$B$6:$B$15,""),"")</f>
        <v/>
      </c>
      <c r="J126">
        <f>IF(A126="","",TEXT(A126,"mmm-yyyy"))</f>
        <v/>
      </c>
    </row>
    <row r="127">
      <c r="D127">
        <f>IFERROR(XLOOKUP(C127,'Vendor Master'!$A$6:$A$15,'Vendor Master'!$B$6:$B$15,""),"")</f>
        <v/>
      </c>
      <c r="J127">
        <f>IF(A127="","",TEXT(A127,"mmm-yyyy"))</f>
        <v/>
      </c>
    </row>
    <row r="128">
      <c r="D128">
        <f>IFERROR(XLOOKUP(C128,'Vendor Master'!$A$6:$A$15,'Vendor Master'!$B$6:$B$15,""),"")</f>
        <v/>
      </c>
      <c r="J128">
        <f>IF(A128="","",TEXT(A128,"mmm-yyyy"))</f>
        <v/>
      </c>
    </row>
    <row r="129">
      <c r="D129">
        <f>IFERROR(XLOOKUP(C129,'Vendor Master'!$A$6:$A$15,'Vendor Master'!$B$6:$B$15,""),"")</f>
        <v/>
      </c>
      <c r="J129">
        <f>IF(A129="","",TEXT(A129,"mmm-yyyy"))</f>
        <v/>
      </c>
    </row>
    <row r="130">
      <c r="D130">
        <f>IFERROR(XLOOKUP(C130,'Vendor Master'!$A$6:$A$15,'Vendor Master'!$B$6:$B$15,""),"")</f>
        <v/>
      </c>
      <c r="J130">
        <f>IF(A130="","",TEXT(A130,"mmm-yyyy"))</f>
        <v/>
      </c>
    </row>
    <row r="131">
      <c r="D131">
        <f>IFERROR(XLOOKUP(C131,'Vendor Master'!$A$6:$A$15,'Vendor Master'!$B$6:$B$15,""),"")</f>
        <v/>
      </c>
      <c r="J131">
        <f>IF(A131="","",TEXT(A131,"mmm-yyyy"))</f>
        <v/>
      </c>
    </row>
    <row r="132">
      <c r="D132">
        <f>IFERROR(XLOOKUP(C132,'Vendor Master'!$A$6:$A$15,'Vendor Master'!$B$6:$B$15,""),"")</f>
        <v/>
      </c>
      <c r="J132">
        <f>IF(A132="","",TEXT(A132,"mmm-yyyy"))</f>
        <v/>
      </c>
    </row>
    <row r="133">
      <c r="D133">
        <f>IFERROR(XLOOKUP(C133,'Vendor Master'!$A$6:$A$15,'Vendor Master'!$B$6:$B$15,""),"")</f>
        <v/>
      </c>
      <c r="J133">
        <f>IF(A133="","",TEXT(A133,"mmm-yyyy"))</f>
        <v/>
      </c>
    </row>
    <row r="134">
      <c r="D134">
        <f>IFERROR(XLOOKUP(C134,'Vendor Master'!$A$6:$A$15,'Vendor Master'!$B$6:$B$15,""),"")</f>
        <v/>
      </c>
      <c r="J134">
        <f>IF(A134="","",TEXT(A134,"mmm-yyyy"))</f>
        <v/>
      </c>
    </row>
    <row r="135">
      <c r="D135">
        <f>IFERROR(XLOOKUP(C135,'Vendor Master'!$A$6:$A$15,'Vendor Master'!$B$6:$B$15,""),"")</f>
        <v/>
      </c>
      <c r="J135">
        <f>IF(A135="","",TEXT(A135,"mmm-yyyy"))</f>
        <v/>
      </c>
    </row>
    <row r="136">
      <c r="D136">
        <f>IFERROR(XLOOKUP(C136,'Vendor Master'!$A$6:$A$15,'Vendor Master'!$B$6:$B$15,""),"")</f>
        <v/>
      </c>
      <c r="J136">
        <f>IF(A136="","",TEXT(A136,"mmm-yyyy"))</f>
        <v/>
      </c>
    </row>
    <row r="137">
      <c r="D137">
        <f>IFERROR(XLOOKUP(C137,'Vendor Master'!$A$6:$A$15,'Vendor Master'!$B$6:$B$15,""),"")</f>
        <v/>
      </c>
      <c r="J137">
        <f>IF(A137="","",TEXT(A137,"mmm-yyyy"))</f>
        <v/>
      </c>
    </row>
    <row r="138">
      <c r="D138">
        <f>IFERROR(XLOOKUP(C138,'Vendor Master'!$A$6:$A$15,'Vendor Master'!$B$6:$B$15,""),"")</f>
        <v/>
      </c>
      <c r="J138">
        <f>IF(A138="","",TEXT(A138,"mmm-yyyy"))</f>
        <v/>
      </c>
    </row>
    <row r="139">
      <c r="D139">
        <f>IFERROR(XLOOKUP(C139,'Vendor Master'!$A$6:$A$15,'Vendor Master'!$B$6:$B$15,""),"")</f>
        <v/>
      </c>
      <c r="J139">
        <f>IF(A139="","",TEXT(A139,"mmm-yyyy"))</f>
        <v/>
      </c>
    </row>
    <row r="140">
      <c r="D140">
        <f>IFERROR(XLOOKUP(C140,'Vendor Master'!$A$6:$A$15,'Vendor Master'!$B$6:$B$15,""),"")</f>
        <v/>
      </c>
      <c r="J140">
        <f>IF(A140="","",TEXT(A140,"mmm-yyyy"))</f>
        <v/>
      </c>
    </row>
    <row r="141">
      <c r="D141">
        <f>IFERROR(XLOOKUP(C141,'Vendor Master'!$A$6:$A$15,'Vendor Master'!$B$6:$B$15,""),"")</f>
        <v/>
      </c>
      <c r="J141">
        <f>IF(A141="","",TEXT(A141,"mmm-yyyy"))</f>
        <v/>
      </c>
    </row>
    <row r="142">
      <c r="D142">
        <f>IFERROR(XLOOKUP(C142,'Vendor Master'!$A$6:$A$15,'Vendor Master'!$B$6:$B$15,""),"")</f>
        <v/>
      </c>
      <c r="J142">
        <f>IF(A142="","",TEXT(A142,"mmm-yyyy"))</f>
        <v/>
      </c>
    </row>
    <row r="143">
      <c r="D143">
        <f>IFERROR(XLOOKUP(C143,'Vendor Master'!$A$6:$A$15,'Vendor Master'!$B$6:$B$15,""),"")</f>
        <v/>
      </c>
      <c r="J143">
        <f>IF(A143="","",TEXT(A143,"mmm-yyyy"))</f>
        <v/>
      </c>
    </row>
    <row r="144">
      <c r="D144">
        <f>IFERROR(XLOOKUP(C144,'Vendor Master'!$A$6:$A$15,'Vendor Master'!$B$6:$B$15,""),"")</f>
        <v/>
      </c>
      <c r="J144">
        <f>IF(A144="","",TEXT(A144,"mmm-yyyy"))</f>
        <v/>
      </c>
    </row>
    <row r="145">
      <c r="D145">
        <f>IFERROR(XLOOKUP(C145,'Vendor Master'!$A$6:$A$15,'Vendor Master'!$B$6:$B$15,""),"")</f>
        <v/>
      </c>
      <c r="J145">
        <f>IF(A145="","",TEXT(A145,"mmm-yyyy"))</f>
        <v/>
      </c>
    </row>
    <row r="146">
      <c r="D146">
        <f>IFERROR(XLOOKUP(C146,'Vendor Master'!$A$6:$A$15,'Vendor Master'!$B$6:$B$15,""),"")</f>
        <v/>
      </c>
      <c r="J146">
        <f>IF(A146="","",TEXT(A146,"mmm-yyyy"))</f>
        <v/>
      </c>
    </row>
    <row r="147">
      <c r="D147">
        <f>IFERROR(XLOOKUP(C147,'Vendor Master'!$A$6:$A$15,'Vendor Master'!$B$6:$B$15,""),"")</f>
        <v/>
      </c>
      <c r="J147">
        <f>IF(A147="","",TEXT(A147,"mmm-yyyy"))</f>
        <v/>
      </c>
    </row>
    <row r="148">
      <c r="D148">
        <f>IFERROR(XLOOKUP(C148,'Vendor Master'!$A$6:$A$15,'Vendor Master'!$B$6:$B$15,""),"")</f>
        <v/>
      </c>
      <c r="J148">
        <f>IF(A148="","",TEXT(A148,"mmm-yyyy"))</f>
        <v/>
      </c>
    </row>
    <row r="149">
      <c r="D149">
        <f>IFERROR(XLOOKUP(C149,'Vendor Master'!$A$6:$A$15,'Vendor Master'!$B$6:$B$15,""),"")</f>
        <v/>
      </c>
      <c r="J149">
        <f>IF(A149="","",TEXT(A149,"mmm-yyyy"))</f>
        <v/>
      </c>
    </row>
    <row r="150">
      <c r="D150">
        <f>IFERROR(XLOOKUP(C150,'Vendor Master'!$A$6:$A$15,'Vendor Master'!$B$6:$B$15,""),"")</f>
        <v/>
      </c>
      <c r="J150">
        <f>IF(A150="","",TEXT(A150,"mmm-yyyy"))</f>
        <v/>
      </c>
    </row>
    <row r="151">
      <c r="D151">
        <f>IFERROR(XLOOKUP(C151,'Vendor Master'!$A$6:$A$15,'Vendor Master'!$B$6:$B$15,""),"")</f>
        <v/>
      </c>
      <c r="J151">
        <f>IF(A151="","",TEXT(A151,"mmm-yyyy"))</f>
        <v/>
      </c>
    </row>
    <row r="152">
      <c r="D152">
        <f>IFERROR(XLOOKUP(C152,'Vendor Master'!$A$6:$A$15,'Vendor Master'!$B$6:$B$15,""),"")</f>
        <v/>
      </c>
      <c r="J152">
        <f>IF(A152="","",TEXT(A152,"mmm-yyyy"))</f>
        <v/>
      </c>
    </row>
    <row r="153">
      <c r="D153">
        <f>IFERROR(XLOOKUP(C153,'Vendor Master'!$A$6:$A$15,'Vendor Master'!$B$6:$B$15,""),"")</f>
        <v/>
      </c>
      <c r="J153">
        <f>IF(A153="","",TEXT(A153,"mmm-yyyy"))</f>
        <v/>
      </c>
    </row>
    <row r="154">
      <c r="D154">
        <f>IFERROR(XLOOKUP(C154,'Vendor Master'!$A$6:$A$15,'Vendor Master'!$B$6:$B$15,""),"")</f>
        <v/>
      </c>
      <c r="J154">
        <f>IF(A154="","",TEXT(A154,"mmm-yyyy"))</f>
        <v/>
      </c>
    </row>
    <row r="155">
      <c r="D155">
        <f>IFERROR(XLOOKUP(C155,'Vendor Master'!$A$6:$A$15,'Vendor Master'!$B$6:$B$15,""),"")</f>
        <v/>
      </c>
      <c r="J155">
        <f>IF(A155="","",TEXT(A155,"mmm-yyyy"))</f>
        <v/>
      </c>
    </row>
    <row r="156">
      <c r="D156">
        <f>IFERROR(XLOOKUP(C156,'Vendor Master'!$A$6:$A$15,'Vendor Master'!$B$6:$B$15,""),"")</f>
        <v/>
      </c>
      <c r="J156">
        <f>IF(A156="","",TEXT(A156,"mmm-yyyy"))</f>
        <v/>
      </c>
    </row>
    <row r="157">
      <c r="D157">
        <f>IFERROR(XLOOKUP(C157,'Vendor Master'!$A$6:$A$15,'Vendor Master'!$B$6:$B$15,""),"")</f>
        <v/>
      </c>
      <c r="J157">
        <f>IF(A157="","",TEXT(A157,"mmm-yyyy"))</f>
        <v/>
      </c>
    </row>
    <row r="158">
      <c r="D158">
        <f>IFERROR(XLOOKUP(C158,'Vendor Master'!$A$6:$A$15,'Vendor Master'!$B$6:$B$15,""),"")</f>
        <v/>
      </c>
      <c r="J158">
        <f>IF(A158="","",TEXT(A158,"mmm-yyyy"))</f>
        <v/>
      </c>
    </row>
    <row r="159">
      <c r="D159">
        <f>IFERROR(XLOOKUP(C159,'Vendor Master'!$A$6:$A$15,'Vendor Master'!$B$6:$B$15,""),"")</f>
        <v/>
      </c>
      <c r="J159">
        <f>IF(A159="","",TEXT(A159,"mmm-yyyy"))</f>
        <v/>
      </c>
    </row>
    <row r="160">
      <c r="D160">
        <f>IFERROR(XLOOKUP(C160,'Vendor Master'!$A$6:$A$15,'Vendor Master'!$B$6:$B$15,""),"")</f>
        <v/>
      </c>
      <c r="J160">
        <f>IF(A160="","",TEXT(A160,"mmm-yyyy"))</f>
        <v/>
      </c>
    </row>
    <row r="161">
      <c r="D161">
        <f>IFERROR(XLOOKUP(C161,'Vendor Master'!$A$6:$A$15,'Vendor Master'!$B$6:$B$15,""),"")</f>
        <v/>
      </c>
      <c r="J161">
        <f>IF(A161="","",TEXT(A161,"mmm-yyyy"))</f>
        <v/>
      </c>
    </row>
    <row r="162">
      <c r="D162">
        <f>IFERROR(XLOOKUP(C162,'Vendor Master'!$A$6:$A$15,'Vendor Master'!$B$6:$B$15,""),"")</f>
        <v/>
      </c>
      <c r="J162">
        <f>IF(A162="","",TEXT(A162,"mmm-yyyy"))</f>
        <v/>
      </c>
    </row>
    <row r="163">
      <c r="D163">
        <f>IFERROR(XLOOKUP(C163,'Vendor Master'!$A$6:$A$15,'Vendor Master'!$B$6:$B$15,""),"")</f>
        <v/>
      </c>
      <c r="J163">
        <f>IF(A163="","",TEXT(A163,"mmm-yyyy"))</f>
        <v/>
      </c>
    </row>
    <row r="164">
      <c r="D164">
        <f>IFERROR(XLOOKUP(C164,'Vendor Master'!$A$6:$A$15,'Vendor Master'!$B$6:$B$15,""),"")</f>
        <v/>
      </c>
      <c r="J164">
        <f>IF(A164="","",TEXT(A164,"mmm-yyyy"))</f>
        <v/>
      </c>
    </row>
    <row r="165">
      <c r="D165">
        <f>IFERROR(XLOOKUP(C165,'Vendor Master'!$A$6:$A$15,'Vendor Master'!$B$6:$B$15,""),"")</f>
        <v/>
      </c>
      <c r="J165">
        <f>IF(A165="","",TEXT(A165,"mmm-yyyy"))</f>
        <v/>
      </c>
    </row>
    <row r="166">
      <c r="D166">
        <f>IFERROR(XLOOKUP(C166,'Vendor Master'!$A$6:$A$15,'Vendor Master'!$B$6:$B$15,""),"")</f>
        <v/>
      </c>
      <c r="J166">
        <f>IF(A166="","",TEXT(A166,"mmm-yyyy"))</f>
        <v/>
      </c>
    </row>
    <row r="167">
      <c r="D167">
        <f>IFERROR(XLOOKUP(C167,'Vendor Master'!$A$6:$A$15,'Vendor Master'!$B$6:$B$15,""),"")</f>
        <v/>
      </c>
      <c r="J167">
        <f>IF(A167="","",TEXT(A167,"mmm-yyyy"))</f>
        <v/>
      </c>
    </row>
    <row r="168">
      <c r="D168">
        <f>IFERROR(XLOOKUP(C168,'Vendor Master'!$A$6:$A$15,'Vendor Master'!$B$6:$B$15,""),"")</f>
        <v/>
      </c>
      <c r="J168">
        <f>IF(A168="","",TEXT(A168,"mmm-yyyy"))</f>
        <v/>
      </c>
    </row>
    <row r="169">
      <c r="D169">
        <f>IFERROR(XLOOKUP(C169,'Vendor Master'!$A$6:$A$15,'Vendor Master'!$B$6:$B$15,""),"")</f>
        <v/>
      </c>
      <c r="J169">
        <f>IF(A169="","",TEXT(A169,"mmm-yyyy"))</f>
        <v/>
      </c>
    </row>
    <row r="170">
      <c r="D170">
        <f>IFERROR(XLOOKUP(C170,'Vendor Master'!$A$6:$A$15,'Vendor Master'!$B$6:$B$15,""),"")</f>
        <v/>
      </c>
      <c r="J170">
        <f>IF(A170="","",TEXT(A170,"mmm-yyyy"))</f>
        <v/>
      </c>
    </row>
    <row r="171">
      <c r="D171">
        <f>IFERROR(XLOOKUP(C171,'Vendor Master'!$A$6:$A$15,'Vendor Master'!$B$6:$B$15,""),"")</f>
        <v/>
      </c>
      <c r="J171">
        <f>IF(A171="","",TEXT(A171,"mmm-yyyy"))</f>
        <v/>
      </c>
    </row>
    <row r="172">
      <c r="D172">
        <f>IFERROR(XLOOKUP(C172,'Vendor Master'!$A$6:$A$15,'Vendor Master'!$B$6:$B$15,""),"")</f>
        <v/>
      </c>
      <c r="J172">
        <f>IF(A172="","",TEXT(A172,"mmm-yyyy"))</f>
        <v/>
      </c>
    </row>
    <row r="173">
      <c r="D173">
        <f>IFERROR(XLOOKUP(C173,'Vendor Master'!$A$6:$A$15,'Vendor Master'!$B$6:$B$15,""),"")</f>
        <v/>
      </c>
      <c r="J173">
        <f>IF(A173="","",TEXT(A173,"mmm-yyyy"))</f>
        <v/>
      </c>
    </row>
    <row r="174">
      <c r="D174">
        <f>IFERROR(XLOOKUP(C174,'Vendor Master'!$A$6:$A$15,'Vendor Master'!$B$6:$B$15,""),"")</f>
        <v/>
      </c>
      <c r="J174">
        <f>IF(A174="","",TEXT(A174,"mmm-yyyy"))</f>
        <v/>
      </c>
    </row>
    <row r="175">
      <c r="D175">
        <f>IFERROR(XLOOKUP(C175,'Vendor Master'!$A$6:$A$15,'Vendor Master'!$B$6:$B$15,""),"")</f>
        <v/>
      </c>
      <c r="J175">
        <f>IF(A175="","",TEXT(A175,"mmm-yyyy"))</f>
        <v/>
      </c>
    </row>
    <row r="176">
      <c r="D176">
        <f>IFERROR(XLOOKUP(C176,'Vendor Master'!$A$6:$A$15,'Vendor Master'!$B$6:$B$15,""),"")</f>
        <v/>
      </c>
      <c r="J176">
        <f>IF(A176="","",TEXT(A176,"mmm-yyyy"))</f>
        <v/>
      </c>
    </row>
    <row r="177">
      <c r="D177">
        <f>IFERROR(XLOOKUP(C177,'Vendor Master'!$A$6:$A$15,'Vendor Master'!$B$6:$B$15,""),"")</f>
        <v/>
      </c>
      <c r="J177">
        <f>IF(A177="","",TEXT(A177,"mmm-yyyy"))</f>
        <v/>
      </c>
    </row>
    <row r="178">
      <c r="D178">
        <f>IFERROR(XLOOKUP(C178,'Vendor Master'!$A$6:$A$15,'Vendor Master'!$B$6:$B$15,""),"")</f>
        <v/>
      </c>
      <c r="J178">
        <f>IF(A178="","",TEXT(A178,"mmm-yyyy"))</f>
        <v/>
      </c>
    </row>
    <row r="179">
      <c r="D179">
        <f>IFERROR(XLOOKUP(C179,'Vendor Master'!$A$6:$A$15,'Vendor Master'!$B$6:$B$15,""),"")</f>
        <v/>
      </c>
      <c r="J179">
        <f>IF(A179="","",TEXT(A179,"mmm-yyyy"))</f>
        <v/>
      </c>
    </row>
    <row r="180">
      <c r="D180">
        <f>IFERROR(XLOOKUP(C180,'Vendor Master'!$A$6:$A$15,'Vendor Master'!$B$6:$B$15,""),"")</f>
        <v/>
      </c>
      <c r="J180">
        <f>IF(A180="","",TEXT(A180,"mmm-yyyy"))</f>
        <v/>
      </c>
    </row>
    <row r="181">
      <c r="D181">
        <f>IFERROR(XLOOKUP(C181,'Vendor Master'!$A$6:$A$15,'Vendor Master'!$B$6:$B$15,""),"")</f>
        <v/>
      </c>
      <c r="J181">
        <f>IF(A181="","",TEXT(A181,"mmm-yyyy"))</f>
        <v/>
      </c>
    </row>
    <row r="182">
      <c r="D182">
        <f>IFERROR(XLOOKUP(C182,'Vendor Master'!$A$6:$A$15,'Vendor Master'!$B$6:$B$15,""),"")</f>
        <v/>
      </c>
      <c r="J182">
        <f>IF(A182="","",TEXT(A182,"mmm-yyyy"))</f>
        <v/>
      </c>
    </row>
    <row r="183">
      <c r="D183">
        <f>IFERROR(XLOOKUP(C183,'Vendor Master'!$A$6:$A$15,'Vendor Master'!$B$6:$B$15,""),"")</f>
        <v/>
      </c>
      <c r="J183">
        <f>IF(A183="","",TEXT(A183,"mmm-yyyy"))</f>
        <v/>
      </c>
    </row>
    <row r="184">
      <c r="D184">
        <f>IFERROR(XLOOKUP(C184,'Vendor Master'!$A$6:$A$15,'Vendor Master'!$B$6:$B$15,""),"")</f>
        <v/>
      </c>
      <c r="J184">
        <f>IF(A184="","",TEXT(A184,"mmm-yyyy"))</f>
        <v/>
      </c>
    </row>
    <row r="185">
      <c r="D185">
        <f>IFERROR(XLOOKUP(C185,'Vendor Master'!$A$6:$A$15,'Vendor Master'!$B$6:$B$15,""),"")</f>
        <v/>
      </c>
      <c r="J185">
        <f>IF(A185="","",TEXT(A185,"mmm-yyyy"))</f>
        <v/>
      </c>
    </row>
    <row r="186">
      <c r="D186">
        <f>IFERROR(XLOOKUP(C186,'Vendor Master'!$A$6:$A$15,'Vendor Master'!$B$6:$B$15,""),"")</f>
        <v/>
      </c>
      <c r="J186">
        <f>IF(A186="","",TEXT(A186,"mmm-yyyy"))</f>
        <v/>
      </c>
    </row>
    <row r="187">
      <c r="D187">
        <f>IFERROR(XLOOKUP(C187,'Vendor Master'!$A$6:$A$15,'Vendor Master'!$B$6:$B$15,""),"")</f>
        <v/>
      </c>
      <c r="J187">
        <f>IF(A187="","",TEXT(A187,"mmm-yyyy"))</f>
        <v/>
      </c>
    </row>
    <row r="188">
      <c r="D188">
        <f>IFERROR(XLOOKUP(C188,'Vendor Master'!$A$6:$A$15,'Vendor Master'!$B$6:$B$15,""),"")</f>
        <v/>
      </c>
      <c r="J188">
        <f>IF(A188="","",TEXT(A188,"mmm-yyyy"))</f>
        <v/>
      </c>
    </row>
    <row r="189">
      <c r="D189">
        <f>IFERROR(XLOOKUP(C189,'Vendor Master'!$A$6:$A$15,'Vendor Master'!$B$6:$B$15,""),"")</f>
        <v/>
      </c>
      <c r="J189">
        <f>IF(A189="","",TEXT(A189,"mmm-yyyy"))</f>
        <v/>
      </c>
    </row>
    <row r="190">
      <c r="D190">
        <f>IFERROR(XLOOKUP(C190,'Vendor Master'!$A$6:$A$15,'Vendor Master'!$B$6:$B$15,""),"")</f>
        <v/>
      </c>
      <c r="J190">
        <f>IF(A190="","",TEXT(A190,"mmm-yyyy"))</f>
        <v/>
      </c>
    </row>
    <row r="191">
      <c r="D191">
        <f>IFERROR(XLOOKUP(C191,'Vendor Master'!$A$6:$A$15,'Vendor Master'!$B$6:$B$15,""),"")</f>
        <v/>
      </c>
      <c r="J191">
        <f>IF(A191="","",TEXT(A191,"mmm-yyyy"))</f>
        <v/>
      </c>
    </row>
    <row r="192">
      <c r="D192">
        <f>IFERROR(XLOOKUP(C192,'Vendor Master'!$A$6:$A$15,'Vendor Master'!$B$6:$B$15,""),"")</f>
        <v/>
      </c>
      <c r="J192">
        <f>IF(A192="","",TEXT(A192,"mmm-yyyy"))</f>
        <v/>
      </c>
    </row>
    <row r="193">
      <c r="D193">
        <f>IFERROR(XLOOKUP(C193,'Vendor Master'!$A$6:$A$15,'Vendor Master'!$B$6:$B$15,""),"")</f>
        <v/>
      </c>
      <c r="J193">
        <f>IF(A193="","",TEXT(A193,"mmm-yyyy"))</f>
        <v/>
      </c>
    </row>
    <row r="194">
      <c r="D194">
        <f>IFERROR(XLOOKUP(C194,'Vendor Master'!$A$6:$A$15,'Vendor Master'!$B$6:$B$15,""),"")</f>
        <v/>
      </c>
      <c r="J194">
        <f>IF(A194="","",TEXT(A194,"mmm-yyyy"))</f>
        <v/>
      </c>
    </row>
    <row r="195">
      <c r="D195">
        <f>IFERROR(XLOOKUP(C195,'Vendor Master'!$A$6:$A$15,'Vendor Master'!$B$6:$B$15,""),"")</f>
        <v/>
      </c>
      <c r="J195">
        <f>IF(A195="","",TEXT(A195,"mmm-yyyy"))</f>
        <v/>
      </c>
    </row>
    <row r="196">
      <c r="D196">
        <f>IFERROR(XLOOKUP(C196,'Vendor Master'!$A$6:$A$15,'Vendor Master'!$B$6:$B$15,""),"")</f>
        <v/>
      </c>
      <c r="J196">
        <f>IF(A196="","",TEXT(A196,"mmm-yyyy"))</f>
        <v/>
      </c>
    </row>
    <row r="197">
      <c r="D197">
        <f>IFERROR(XLOOKUP(C197,'Vendor Master'!$A$6:$A$15,'Vendor Master'!$B$6:$B$15,""),"")</f>
        <v/>
      </c>
      <c r="J197">
        <f>IF(A197="","",TEXT(A197,"mmm-yyyy"))</f>
        <v/>
      </c>
    </row>
    <row r="198">
      <c r="D198">
        <f>IFERROR(XLOOKUP(C198,'Vendor Master'!$A$6:$A$15,'Vendor Master'!$B$6:$B$15,""),"")</f>
        <v/>
      </c>
      <c r="J198">
        <f>IF(A198="","",TEXT(A198,"mmm-yyyy"))</f>
        <v/>
      </c>
    </row>
    <row r="199">
      <c r="D199">
        <f>IFERROR(XLOOKUP(C199,'Vendor Master'!$A$6:$A$15,'Vendor Master'!$B$6:$B$15,""),"")</f>
        <v/>
      </c>
      <c r="J199">
        <f>IF(A199="","",TEXT(A199,"mmm-yyyy"))</f>
        <v/>
      </c>
    </row>
    <row r="200">
      <c r="D200">
        <f>IFERROR(XLOOKUP(C200,'Vendor Master'!$A$6:$A$15,'Vendor Master'!$B$6:$B$15,""),"")</f>
        <v/>
      </c>
      <c r="J200">
        <f>IF(A200="","",TEXT(A200,"mmm-yyyy"))</f>
        <v/>
      </c>
    </row>
    <row r="201">
      <c r="D201">
        <f>IFERROR(XLOOKUP(C201,'Vendor Master'!$A$6:$A$15,'Vendor Master'!$B$6:$B$15,""),"")</f>
        <v/>
      </c>
      <c r="J201">
        <f>IF(A201="","",TEXT(A201,"mmm-yyyy"))</f>
        <v/>
      </c>
    </row>
    <row r="202">
      <c r="D202">
        <f>IFERROR(XLOOKUP(C202,'Vendor Master'!$A$6:$A$15,'Vendor Master'!$B$6:$B$15,""),"")</f>
        <v/>
      </c>
      <c r="J202">
        <f>IF(A202="","",TEXT(A202,"mmm-yyyy"))</f>
        <v/>
      </c>
    </row>
    <row r="203">
      <c r="D203">
        <f>IFERROR(XLOOKUP(C203,'Vendor Master'!$A$6:$A$15,'Vendor Master'!$B$6:$B$15,""),"")</f>
        <v/>
      </c>
      <c r="J203">
        <f>IF(A203="","",TEXT(A203,"mmm-yyyy"))</f>
        <v/>
      </c>
    </row>
    <row r="204">
      <c r="D204">
        <f>IFERROR(XLOOKUP(C204,'Vendor Master'!$A$6:$A$15,'Vendor Master'!$B$6:$B$15,""),"")</f>
        <v/>
      </c>
      <c r="J204">
        <f>IF(A204="","",TEXT(A204,"mmm-yyyy"))</f>
        <v/>
      </c>
    </row>
    <row r="205">
      <c r="D205">
        <f>IFERROR(XLOOKUP(C205,'Vendor Master'!$A$6:$A$15,'Vendor Master'!$B$6:$B$15,""),"")</f>
        <v/>
      </c>
      <c r="J205">
        <f>IF(A205="","",TEXT(A205,"mmm-yyyy"))</f>
        <v/>
      </c>
    </row>
    <row r="206">
      <c r="D206">
        <f>IFERROR(XLOOKUP(C206,'Vendor Master'!$A$6:$A$15,'Vendor Master'!$B$6:$B$15,""),"")</f>
        <v/>
      </c>
      <c r="J206">
        <f>IF(A206="","",TEXT(A206,"mmm-yyyy"))</f>
        <v/>
      </c>
    </row>
    <row r="207">
      <c r="D207">
        <f>IFERROR(XLOOKUP(C207,'Vendor Master'!$A$6:$A$15,'Vendor Master'!$B$6:$B$15,""),"")</f>
        <v/>
      </c>
      <c r="J207">
        <f>IF(A207="","",TEXT(A207,"mmm-yyyy"))</f>
        <v/>
      </c>
    </row>
    <row r="208">
      <c r="D208">
        <f>IFERROR(XLOOKUP(C208,'Vendor Master'!$A$6:$A$15,'Vendor Master'!$B$6:$B$15,""),"")</f>
        <v/>
      </c>
      <c r="J208">
        <f>IF(A208="","",TEXT(A208,"mmm-yyyy"))</f>
        <v/>
      </c>
    </row>
    <row r="209">
      <c r="D209">
        <f>IFERROR(XLOOKUP(C209,'Vendor Master'!$A$6:$A$15,'Vendor Master'!$B$6:$B$15,""),"")</f>
        <v/>
      </c>
      <c r="J209">
        <f>IF(A209="","",TEXT(A209,"mmm-yyyy"))</f>
        <v/>
      </c>
    </row>
    <row r="210">
      <c r="D210">
        <f>IFERROR(XLOOKUP(C210,'Vendor Master'!$A$6:$A$15,'Vendor Master'!$B$6:$B$15,""),"")</f>
        <v/>
      </c>
      <c r="J210">
        <f>IF(A210="","",TEXT(A210,"mmm-yyyy"))</f>
        <v/>
      </c>
    </row>
    <row r="211">
      <c r="D211">
        <f>IFERROR(XLOOKUP(C211,'Vendor Master'!$A$6:$A$15,'Vendor Master'!$B$6:$B$15,""),"")</f>
        <v/>
      </c>
      <c r="J211">
        <f>IF(A211="","",TEXT(A211,"mmm-yyyy"))</f>
        <v/>
      </c>
    </row>
    <row r="212">
      <c r="D212">
        <f>IFERROR(XLOOKUP(C212,'Vendor Master'!$A$6:$A$15,'Vendor Master'!$B$6:$B$15,""),"")</f>
        <v/>
      </c>
      <c r="J212">
        <f>IF(A212="","",TEXT(A212,"mmm-yyyy"))</f>
        <v/>
      </c>
    </row>
    <row r="213">
      <c r="D213">
        <f>IFERROR(XLOOKUP(C213,'Vendor Master'!$A$6:$A$15,'Vendor Master'!$B$6:$B$15,""),"")</f>
        <v/>
      </c>
      <c r="J213">
        <f>IF(A213="","",TEXT(A213,"mmm-yyyy"))</f>
        <v/>
      </c>
    </row>
    <row r="214">
      <c r="D214">
        <f>IFERROR(XLOOKUP(C214,'Vendor Master'!$A$6:$A$15,'Vendor Master'!$B$6:$B$15,""),"")</f>
        <v/>
      </c>
      <c r="J214">
        <f>IF(A214="","",TEXT(A214,"mmm-yyyy"))</f>
        <v/>
      </c>
    </row>
    <row r="215">
      <c r="D215">
        <f>IFERROR(XLOOKUP(C215,'Vendor Master'!$A$6:$A$15,'Vendor Master'!$B$6:$B$15,""),"")</f>
        <v/>
      </c>
      <c r="J215">
        <f>IF(A215="","",TEXT(A215,"mmm-yyyy"))</f>
        <v/>
      </c>
    </row>
    <row r="216">
      <c r="D216">
        <f>IFERROR(XLOOKUP(C216,'Vendor Master'!$A$6:$A$15,'Vendor Master'!$B$6:$B$15,""),"")</f>
        <v/>
      </c>
      <c r="J216">
        <f>IF(A216="","",TEXT(A216,"mmm-yyyy"))</f>
        <v/>
      </c>
    </row>
    <row r="217">
      <c r="D217">
        <f>IFERROR(XLOOKUP(C217,'Vendor Master'!$A$6:$A$15,'Vendor Master'!$B$6:$B$15,""),"")</f>
        <v/>
      </c>
      <c r="J217">
        <f>IF(A217="","",TEXT(A217,"mmm-yyyy"))</f>
        <v/>
      </c>
    </row>
    <row r="218">
      <c r="D218">
        <f>IFERROR(XLOOKUP(C218,'Vendor Master'!$A$6:$A$15,'Vendor Master'!$B$6:$B$15,""),"")</f>
        <v/>
      </c>
      <c r="J218">
        <f>IF(A218="","",TEXT(A218,"mmm-yyyy"))</f>
        <v/>
      </c>
    </row>
    <row r="219">
      <c r="D219">
        <f>IFERROR(XLOOKUP(C219,'Vendor Master'!$A$6:$A$15,'Vendor Master'!$B$6:$B$15,""),"")</f>
        <v/>
      </c>
      <c r="J219">
        <f>IF(A219="","",TEXT(A219,"mmm-yyyy"))</f>
        <v/>
      </c>
    </row>
    <row r="220">
      <c r="D220">
        <f>IFERROR(XLOOKUP(C220,'Vendor Master'!$A$6:$A$15,'Vendor Master'!$B$6:$B$15,""),"")</f>
        <v/>
      </c>
      <c r="J220">
        <f>IF(A220="","",TEXT(A220,"mmm-yyyy"))</f>
        <v/>
      </c>
    </row>
    <row r="221">
      <c r="D221">
        <f>IFERROR(XLOOKUP(C221,'Vendor Master'!$A$6:$A$15,'Vendor Master'!$B$6:$B$15,""),"")</f>
        <v/>
      </c>
      <c r="J221">
        <f>IF(A221="","",TEXT(A221,"mmm-yyyy"))</f>
        <v/>
      </c>
    </row>
    <row r="222">
      <c r="D222">
        <f>IFERROR(XLOOKUP(C222,'Vendor Master'!$A$6:$A$15,'Vendor Master'!$B$6:$B$15,""),"")</f>
        <v/>
      </c>
      <c r="J222">
        <f>IF(A222="","",TEXT(A222,"mmm-yyyy"))</f>
        <v/>
      </c>
    </row>
    <row r="223">
      <c r="D223">
        <f>IFERROR(XLOOKUP(C223,'Vendor Master'!$A$6:$A$15,'Vendor Master'!$B$6:$B$15,""),"")</f>
        <v/>
      </c>
      <c r="J223">
        <f>IF(A223="","",TEXT(A223,"mmm-yyyy"))</f>
        <v/>
      </c>
    </row>
    <row r="224">
      <c r="D224">
        <f>IFERROR(XLOOKUP(C224,'Vendor Master'!$A$6:$A$15,'Vendor Master'!$B$6:$B$15,""),"")</f>
        <v/>
      </c>
      <c r="J224">
        <f>IF(A224="","",TEXT(A224,"mmm-yyyy"))</f>
        <v/>
      </c>
    </row>
    <row r="225">
      <c r="D225">
        <f>IFERROR(XLOOKUP(C225,'Vendor Master'!$A$6:$A$15,'Vendor Master'!$B$6:$B$15,""),"")</f>
        <v/>
      </c>
      <c r="J225">
        <f>IF(A225="","",TEXT(A225,"mmm-yyyy"))</f>
        <v/>
      </c>
    </row>
    <row r="226">
      <c r="D226">
        <f>IFERROR(XLOOKUP(C226,'Vendor Master'!$A$6:$A$15,'Vendor Master'!$B$6:$B$15,""),"")</f>
        <v/>
      </c>
      <c r="J226">
        <f>IF(A226="","",TEXT(A226,"mmm-yyyy"))</f>
        <v/>
      </c>
    </row>
    <row r="227">
      <c r="D227">
        <f>IFERROR(XLOOKUP(C227,'Vendor Master'!$A$6:$A$15,'Vendor Master'!$B$6:$B$15,""),"")</f>
        <v/>
      </c>
      <c r="J227">
        <f>IF(A227="","",TEXT(A227,"mmm-yyyy"))</f>
        <v/>
      </c>
    </row>
    <row r="228">
      <c r="D228">
        <f>IFERROR(XLOOKUP(C228,'Vendor Master'!$A$6:$A$15,'Vendor Master'!$B$6:$B$15,""),"")</f>
        <v/>
      </c>
      <c r="J228">
        <f>IF(A228="","",TEXT(A228,"mmm-yyyy"))</f>
        <v/>
      </c>
    </row>
    <row r="229">
      <c r="D229">
        <f>IFERROR(XLOOKUP(C229,'Vendor Master'!$A$6:$A$15,'Vendor Master'!$B$6:$B$15,""),"")</f>
        <v/>
      </c>
      <c r="J229">
        <f>IF(A229="","",TEXT(A229,"mmm-yyyy"))</f>
        <v/>
      </c>
    </row>
    <row r="230">
      <c r="D230">
        <f>IFERROR(XLOOKUP(C230,'Vendor Master'!$A$6:$A$15,'Vendor Master'!$B$6:$B$15,""),"")</f>
        <v/>
      </c>
      <c r="J230">
        <f>IF(A230="","",TEXT(A230,"mmm-yyyy"))</f>
        <v/>
      </c>
    </row>
    <row r="231">
      <c r="D231">
        <f>IFERROR(XLOOKUP(C231,'Vendor Master'!$A$6:$A$15,'Vendor Master'!$B$6:$B$15,""),"")</f>
        <v/>
      </c>
      <c r="J231">
        <f>IF(A231="","",TEXT(A231,"mmm-yyyy"))</f>
        <v/>
      </c>
    </row>
    <row r="232">
      <c r="D232">
        <f>IFERROR(XLOOKUP(C232,'Vendor Master'!$A$6:$A$15,'Vendor Master'!$B$6:$B$15,""),"")</f>
        <v/>
      </c>
      <c r="J232">
        <f>IF(A232="","",TEXT(A232,"mmm-yyyy"))</f>
        <v/>
      </c>
    </row>
    <row r="233">
      <c r="D233">
        <f>IFERROR(XLOOKUP(C233,'Vendor Master'!$A$6:$A$15,'Vendor Master'!$B$6:$B$15,""),"")</f>
        <v/>
      </c>
      <c r="J233">
        <f>IF(A233="","",TEXT(A233,"mmm-yyyy"))</f>
        <v/>
      </c>
    </row>
    <row r="234">
      <c r="D234">
        <f>IFERROR(XLOOKUP(C234,'Vendor Master'!$A$6:$A$15,'Vendor Master'!$B$6:$B$15,""),"")</f>
        <v/>
      </c>
      <c r="J234">
        <f>IF(A234="","",TEXT(A234,"mmm-yyyy"))</f>
        <v/>
      </c>
    </row>
    <row r="235">
      <c r="D235">
        <f>IFERROR(XLOOKUP(C235,'Vendor Master'!$A$6:$A$15,'Vendor Master'!$B$6:$B$15,""),"")</f>
        <v/>
      </c>
      <c r="J235">
        <f>IF(A235="","",TEXT(A235,"mmm-yyyy"))</f>
        <v/>
      </c>
    </row>
    <row r="236">
      <c r="D236">
        <f>IFERROR(XLOOKUP(C236,'Vendor Master'!$A$6:$A$15,'Vendor Master'!$B$6:$B$15,""),"")</f>
        <v/>
      </c>
      <c r="J236">
        <f>IF(A236="","",TEXT(A236,"mmm-yyyy"))</f>
        <v/>
      </c>
    </row>
    <row r="237">
      <c r="D237">
        <f>IFERROR(XLOOKUP(C237,'Vendor Master'!$A$6:$A$15,'Vendor Master'!$B$6:$B$15,""),"")</f>
        <v/>
      </c>
      <c r="J237">
        <f>IF(A237="","",TEXT(A237,"mmm-yyyy"))</f>
        <v/>
      </c>
    </row>
    <row r="238">
      <c r="D238">
        <f>IFERROR(XLOOKUP(C238,'Vendor Master'!$A$6:$A$15,'Vendor Master'!$B$6:$B$15,""),"")</f>
        <v/>
      </c>
      <c r="J238">
        <f>IF(A238="","",TEXT(A238,"mmm-yyyy"))</f>
        <v/>
      </c>
    </row>
    <row r="239">
      <c r="D239">
        <f>IFERROR(XLOOKUP(C239,'Vendor Master'!$A$6:$A$15,'Vendor Master'!$B$6:$B$15,""),"")</f>
        <v/>
      </c>
      <c r="J239">
        <f>IF(A239="","",TEXT(A239,"mmm-yyyy"))</f>
        <v/>
      </c>
    </row>
    <row r="240">
      <c r="D240">
        <f>IFERROR(XLOOKUP(C240,'Vendor Master'!$A$6:$A$15,'Vendor Master'!$B$6:$B$15,""),"")</f>
        <v/>
      </c>
      <c r="J240">
        <f>IF(A240="","",TEXT(A240,"mmm-yyyy"))</f>
        <v/>
      </c>
    </row>
    <row r="241">
      <c r="D241">
        <f>IFERROR(XLOOKUP(C241,'Vendor Master'!$A$6:$A$15,'Vendor Master'!$B$6:$B$15,""),"")</f>
        <v/>
      </c>
      <c r="J241">
        <f>IF(A241="","",TEXT(A241,"mmm-yyyy"))</f>
        <v/>
      </c>
    </row>
    <row r="242">
      <c r="D242">
        <f>IFERROR(XLOOKUP(C242,'Vendor Master'!$A$6:$A$15,'Vendor Master'!$B$6:$B$15,""),"")</f>
        <v/>
      </c>
      <c r="J242">
        <f>IF(A242="","",TEXT(A242,"mmm-yyyy"))</f>
        <v/>
      </c>
    </row>
    <row r="243">
      <c r="D243">
        <f>IFERROR(XLOOKUP(C243,'Vendor Master'!$A$6:$A$15,'Vendor Master'!$B$6:$B$15,""),"")</f>
        <v/>
      </c>
      <c r="J243">
        <f>IF(A243="","",TEXT(A243,"mmm-yyyy"))</f>
        <v/>
      </c>
    </row>
    <row r="244">
      <c r="D244">
        <f>IFERROR(XLOOKUP(C244,'Vendor Master'!$A$6:$A$15,'Vendor Master'!$B$6:$B$15,""),"")</f>
        <v/>
      </c>
      <c r="J244">
        <f>IF(A244="","",TEXT(A244,"mmm-yyyy"))</f>
        <v/>
      </c>
    </row>
    <row r="245">
      <c r="D245">
        <f>IFERROR(XLOOKUP(C245,'Vendor Master'!$A$6:$A$15,'Vendor Master'!$B$6:$B$15,""),"")</f>
        <v/>
      </c>
      <c r="J245">
        <f>IF(A245="","",TEXT(A245,"mmm-yyyy"))</f>
        <v/>
      </c>
    </row>
    <row r="246">
      <c r="D246">
        <f>IFERROR(XLOOKUP(C246,'Vendor Master'!$A$6:$A$15,'Vendor Master'!$B$6:$B$15,""),"")</f>
        <v/>
      </c>
      <c r="J246">
        <f>IF(A246="","",TEXT(A246,"mmm-yyyy"))</f>
        <v/>
      </c>
    </row>
    <row r="247">
      <c r="D247">
        <f>IFERROR(XLOOKUP(C247,'Vendor Master'!$A$6:$A$15,'Vendor Master'!$B$6:$B$15,""),"")</f>
        <v/>
      </c>
      <c r="J247">
        <f>IF(A247="","",TEXT(A247,"mmm-yyyy"))</f>
        <v/>
      </c>
    </row>
    <row r="248">
      <c r="D248">
        <f>IFERROR(XLOOKUP(C248,'Vendor Master'!$A$6:$A$15,'Vendor Master'!$B$6:$B$15,""),"")</f>
        <v/>
      </c>
      <c r="J248">
        <f>IF(A248="","",TEXT(A248,"mmm-yyyy"))</f>
        <v/>
      </c>
    </row>
    <row r="249">
      <c r="D249">
        <f>IFERROR(XLOOKUP(C249,'Vendor Master'!$A$6:$A$15,'Vendor Master'!$B$6:$B$15,""),"")</f>
        <v/>
      </c>
      <c r="J249">
        <f>IF(A249="","",TEXT(A249,"mmm-yyyy"))</f>
        <v/>
      </c>
    </row>
    <row r="250">
      <c r="D250">
        <f>IFERROR(XLOOKUP(C250,'Vendor Master'!$A$6:$A$15,'Vendor Master'!$B$6:$B$15,""),"")</f>
        <v/>
      </c>
      <c r="J250">
        <f>IF(A250="","",TEXT(A250,"mmm-yyyy"))</f>
        <v/>
      </c>
    </row>
    <row r="251">
      <c r="D251">
        <f>IFERROR(XLOOKUP(C251,'Vendor Master'!$A$6:$A$15,'Vendor Master'!$B$6:$B$15,""),"")</f>
        <v/>
      </c>
      <c r="J251">
        <f>IF(A251="","",TEXT(A251,"mmm-yyyy"))</f>
        <v/>
      </c>
    </row>
    <row r="252">
      <c r="D252">
        <f>IFERROR(XLOOKUP(C252,'Vendor Master'!$A$6:$A$15,'Vendor Master'!$B$6:$B$15,""),"")</f>
        <v/>
      </c>
      <c r="J252">
        <f>IF(A252="","",TEXT(A252,"mmm-yyyy"))</f>
        <v/>
      </c>
    </row>
    <row r="253">
      <c r="D253">
        <f>IFERROR(XLOOKUP(C253,'Vendor Master'!$A$6:$A$15,'Vendor Master'!$B$6:$B$15,""),"")</f>
        <v/>
      </c>
      <c r="J253">
        <f>IF(A253="","",TEXT(A253,"mmm-yyyy"))</f>
        <v/>
      </c>
    </row>
    <row r="254">
      <c r="D254">
        <f>IFERROR(XLOOKUP(C254,'Vendor Master'!$A$6:$A$15,'Vendor Master'!$B$6:$B$15,""),"")</f>
        <v/>
      </c>
      <c r="J254">
        <f>IF(A254="","",TEXT(A254,"mmm-yyyy"))</f>
        <v/>
      </c>
    </row>
    <row r="255">
      <c r="D255">
        <f>IFERROR(XLOOKUP(C255,'Vendor Master'!$A$6:$A$15,'Vendor Master'!$B$6:$B$15,""),"")</f>
        <v/>
      </c>
      <c r="J255">
        <f>IF(A255="","",TEXT(A255,"mmm-yyyy"))</f>
        <v/>
      </c>
    </row>
    <row r="256">
      <c r="D256">
        <f>IFERROR(XLOOKUP(C256,'Vendor Master'!$A$6:$A$15,'Vendor Master'!$B$6:$B$15,""),"")</f>
        <v/>
      </c>
      <c r="J256">
        <f>IF(A256="","",TEXT(A256,"mmm-yyyy"))</f>
        <v/>
      </c>
    </row>
    <row r="257">
      <c r="D257">
        <f>IFERROR(XLOOKUP(C257,'Vendor Master'!$A$6:$A$15,'Vendor Master'!$B$6:$B$15,""),"")</f>
        <v/>
      </c>
      <c r="J257">
        <f>IF(A257="","",TEXT(A257,"mmm-yyyy"))</f>
        <v/>
      </c>
    </row>
    <row r="258">
      <c r="D258">
        <f>IFERROR(XLOOKUP(C258,'Vendor Master'!$A$6:$A$15,'Vendor Master'!$B$6:$B$15,""),"")</f>
        <v/>
      </c>
      <c r="J258">
        <f>IF(A258="","",TEXT(A258,"mmm-yyyy"))</f>
        <v/>
      </c>
    </row>
    <row r="259">
      <c r="D259">
        <f>IFERROR(XLOOKUP(C259,'Vendor Master'!$A$6:$A$15,'Vendor Master'!$B$6:$B$15,""),"")</f>
        <v/>
      </c>
      <c r="J259">
        <f>IF(A259="","",TEXT(A259,"mmm-yyyy"))</f>
        <v/>
      </c>
    </row>
    <row r="260">
      <c r="D260">
        <f>IFERROR(XLOOKUP(C260,'Vendor Master'!$A$6:$A$15,'Vendor Master'!$B$6:$B$15,""),"")</f>
        <v/>
      </c>
      <c r="J260">
        <f>IF(A260="","",TEXT(A260,"mmm-yyyy"))</f>
        <v/>
      </c>
    </row>
    <row r="261">
      <c r="D261">
        <f>IFERROR(XLOOKUP(C261,'Vendor Master'!$A$6:$A$15,'Vendor Master'!$B$6:$B$15,""),"")</f>
        <v/>
      </c>
      <c r="J261">
        <f>IF(A261="","",TEXT(A261,"mmm-yyyy"))</f>
        <v/>
      </c>
    </row>
    <row r="262">
      <c r="D262">
        <f>IFERROR(XLOOKUP(C262,'Vendor Master'!$A$6:$A$15,'Vendor Master'!$B$6:$B$15,""),"")</f>
        <v/>
      </c>
      <c r="J262">
        <f>IF(A262="","",TEXT(A262,"mmm-yyyy"))</f>
        <v/>
      </c>
    </row>
    <row r="263">
      <c r="D263">
        <f>IFERROR(XLOOKUP(C263,'Vendor Master'!$A$6:$A$15,'Vendor Master'!$B$6:$B$15,""),"")</f>
        <v/>
      </c>
      <c r="J263">
        <f>IF(A263="","",TEXT(A263,"mmm-yyyy"))</f>
        <v/>
      </c>
    </row>
    <row r="264">
      <c r="D264">
        <f>IFERROR(XLOOKUP(C264,'Vendor Master'!$A$6:$A$15,'Vendor Master'!$B$6:$B$15,""),"")</f>
        <v/>
      </c>
      <c r="J264">
        <f>IF(A264="","",TEXT(A264,"mmm-yyyy"))</f>
        <v/>
      </c>
    </row>
    <row r="265">
      <c r="D265">
        <f>IFERROR(XLOOKUP(C265,'Vendor Master'!$A$6:$A$15,'Vendor Master'!$B$6:$B$15,""),"")</f>
        <v/>
      </c>
      <c r="J265">
        <f>IF(A265="","",TEXT(A265,"mmm-yyyy"))</f>
        <v/>
      </c>
    </row>
    <row r="266">
      <c r="D266">
        <f>IFERROR(XLOOKUP(C266,'Vendor Master'!$A$6:$A$15,'Vendor Master'!$B$6:$B$15,""),"")</f>
        <v/>
      </c>
      <c r="J266">
        <f>IF(A266="","",TEXT(A266,"mmm-yyyy"))</f>
        <v/>
      </c>
    </row>
    <row r="267">
      <c r="D267">
        <f>IFERROR(XLOOKUP(C267,'Vendor Master'!$A$6:$A$15,'Vendor Master'!$B$6:$B$15,""),"")</f>
        <v/>
      </c>
      <c r="J267">
        <f>IF(A267="","",TEXT(A267,"mmm-yyyy"))</f>
        <v/>
      </c>
    </row>
    <row r="268">
      <c r="D268">
        <f>IFERROR(XLOOKUP(C268,'Vendor Master'!$A$6:$A$15,'Vendor Master'!$B$6:$B$15,""),"")</f>
        <v/>
      </c>
      <c r="J268">
        <f>IF(A268="","",TEXT(A268,"mmm-yyyy"))</f>
        <v/>
      </c>
    </row>
    <row r="269">
      <c r="D269">
        <f>IFERROR(XLOOKUP(C269,'Vendor Master'!$A$6:$A$15,'Vendor Master'!$B$6:$B$15,""),"")</f>
        <v/>
      </c>
      <c r="J269">
        <f>IF(A269="","",TEXT(A269,"mmm-yyyy"))</f>
        <v/>
      </c>
    </row>
    <row r="270">
      <c r="D270">
        <f>IFERROR(XLOOKUP(C270,'Vendor Master'!$A$6:$A$15,'Vendor Master'!$B$6:$B$15,""),"")</f>
        <v/>
      </c>
      <c r="J270">
        <f>IF(A270="","",TEXT(A270,"mmm-yyyy"))</f>
        <v/>
      </c>
    </row>
    <row r="271">
      <c r="D271">
        <f>IFERROR(XLOOKUP(C271,'Vendor Master'!$A$6:$A$15,'Vendor Master'!$B$6:$B$15,""),"")</f>
        <v/>
      </c>
      <c r="J271">
        <f>IF(A271="","",TEXT(A271,"mmm-yyyy"))</f>
        <v/>
      </c>
    </row>
    <row r="272">
      <c r="D272">
        <f>IFERROR(XLOOKUP(C272,'Vendor Master'!$A$6:$A$15,'Vendor Master'!$B$6:$B$15,""),"")</f>
        <v/>
      </c>
      <c r="J272">
        <f>IF(A272="","",TEXT(A272,"mmm-yyyy"))</f>
        <v/>
      </c>
    </row>
    <row r="273">
      <c r="D273">
        <f>IFERROR(XLOOKUP(C273,'Vendor Master'!$A$6:$A$15,'Vendor Master'!$B$6:$B$15,""),"")</f>
        <v/>
      </c>
      <c r="J273">
        <f>IF(A273="","",TEXT(A273,"mmm-yyyy"))</f>
        <v/>
      </c>
    </row>
    <row r="274">
      <c r="D274">
        <f>IFERROR(XLOOKUP(C274,'Vendor Master'!$A$6:$A$15,'Vendor Master'!$B$6:$B$15,""),"")</f>
        <v/>
      </c>
      <c r="J274">
        <f>IF(A274="","",TEXT(A274,"mmm-yyyy"))</f>
        <v/>
      </c>
    </row>
    <row r="275">
      <c r="D275">
        <f>IFERROR(XLOOKUP(C275,'Vendor Master'!$A$6:$A$15,'Vendor Master'!$B$6:$B$15,""),"")</f>
        <v/>
      </c>
      <c r="J275">
        <f>IF(A275="","",TEXT(A275,"mmm-yyyy"))</f>
        <v/>
      </c>
    </row>
    <row r="276">
      <c r="D276">
        <f>IFERROR(XLOOKUP(C276,'Vendor Master'!$A$6:$A$15,'Vendor Master'!$B$6:$B$15,""),"")</f>
        <v/>
      </c>
      <c r="J276">
        <f>IF(A276="","",TEXT(A276,"mmm-yyyy"))</f>
        <v/>
      </c>
    </row>
    <row r="277">
      <c r="D277">
        <f>IFERROR(XLOOKUP(C277,'Vendor Master'!$A$6:$A$15,'Vendor Master'!$B$6:$B$15,""),"")</f>
        <v/>
      </c>
      <c r="J277">
        <f>IF(A277="","",TEXT(A277,"mmm-yyyy"))</f>
        <v/>
      </c>
    </row>
    <row r="278">
      <c r="D278">
        <f>IFERROR(XLOOKUP(C278,'Vendor Master'!$A$6:$A$15,'Vendor Master'!$B$6:$B$15,""),"")</f>
        <v/>
      </c>
      <c r="J278">
        <f>IF(A278="","",TEXT(A278,"mmm-yyyy"))</f>
        <v/>
      </c>
    </row>
    <row r="279">
      <c r="D279">
        <f>IFERROR(XLOOKUP(C279,'Vendor Master'!$A$6:$A$15,'Vendor Master'!$B$6:$B$15,""),"")</f>
        <v/>
      </c>
      <c r="J279">
        <f>IF(A279="","",TEXT(A279,"mmm-yyyy"))</f>
        <v/>
      </c>
    </row>
    <row r="280">
      <c r="D280">
        <f>IFERROR(XLOOKUP(C280,'Vendor Master'!$A$6:$A$15,'Vendor Master'!$B$6:$B$15,""),"")</f>
        <v/>
      </c>
      <c r="J280">
        <f>IF(A280="","",TEXT(A280,"mmm-yyyy"))</f>
        <v/>
      </c>
    </row>
    <row r="281">
      <c r="D281">
        <f>IFERROR(XLOOKUP(C281,'Vendor Master'!$A$6:$A$15,'Vendor Master'!$B$6:$B$15,""),"")</f>
        <v/>
      </c>
      <c r="J281">
        <f>IF(A281="","",TEXT(A281,"mmm-yyyy"))</f>
        <v/>
      </c>
    </row>
    <row r="282">
      <c r="D282">
        <f>IFERROR(XLOOKUP(C282,'Vendor Master'!$A$6:$A$15,'Vendor Master'!$B$6:$B$15,""),"")</f>
        <v/>
      </c>
      <c r="J282">
        <f>IF(A282="","",TEXT(A282,"mmm-yyyy"))</f>
        <v/>
      </c>
    </row>
    <row r="283">
      <c r="D283">
        <f>IFERROR(XLOOKUP(C283,'Vendor Master'!$A$6:$A$15,'Vendor Master'!$B$6:$B$15,""),"")</f>
        <v/>
      </c>
      <c r="J283">
        <f>IF(A283="","",TEXT(A283,"mmm-yyyy"))</f>
        <v/>
      </c>
    </row>
    <row r="284">
      <c r="D284">
        <f>IFERROR(XLOOKUP(C284,'Vendor Master'!$A$6:$A$15,'Vendor Master'!$B$6:$B$15,""),"")</f>
        <v/>
      </c>
      <c r="J284">
        <f>IF(A284="","",TEXT(A284,"mmm-yyyy"))</f>
        <v/>
      </c>
    </row>
    <row r="285">
      <c r="D285">
        <f>IFERROR(XLOOKUP(C285,'Vendor Master'!$A$6:$A$15,'Vendor Master'!$B$6:$B$15,""),"")</f>
        <v/>
      </c>
      <c r="J285">
        <f>IF(A285="","",TEXT(A285,"mmm-yyyy"))</f>
        <v/>
      </c>
    </row>
    <row r="286">
      <c r="D286">
        <f>IFERROR(XLOOKUP(C286,'Vendor Master'!$A$6:$A$15,'Vendor Master'!$B$6:$B$15,""),"")</f>
        <v/>
      </c>
      <c r="J286">
        <f>IF(A286="","",TEXT(A286,"mmm-yyyy"))</f>
        <v/>
      </c>
    </row>
    <row r="287">
      <c r="D287">
        <f>IFERROR(XLOOKUP(C287,'Vendor Master'!$A$6:$A$15,'Vendor Master'!$B$6:$B$15,""),"")</f>
        <v/>
      </c>
      <c r="J287">
        <f>IF(A287="","",TEXT(A287,"mmm-yyyy"))</f>
        <v/>
      </c>
    </row>
    <row r="288">
      <c r="D288">
        <f>IFERROR(XLOOKUP(C288,'Vendor Master'!$A$6:$A$15,'Vendor Master'!$B$6:$B$15,""),"")</f>
        <v/>
      </c>
      <c r="J288">
        <f>IF(A288="","",TEXT(A288,"mmm-yyyy"))</f>
        <v/>
      </c>
    </row>
    <row r="289">
      <c r="D289">
        <f>IFERROR(XLOOKUP(C289,'Vendor Master'!$A$6:$A$15,'Vendor Master'!$B$6:$B$15,""),"")</f>
        <v/>
      </c>
      <c r="J289">
        <f>IF(A289="","",TEXT(A289,"mmm-yyyy"))</f>
        <v/>
      </c>
    </row>
    <row r="290">
      <c r="D290">
        <f>IFERROR(XLOOKUP(C290,'Vendor Master'!$A$6:$A$15,'Vendor Master'!$B$6:$B$15,""),"")</f>
        <v/>
      </c>
      <c r="J290">
        <f>IF(A290="","",TEXT(A290,"mmm-yyyy"))</f>
        <v/>
      </c>
    </row>
    <row r="291">
      <c r="D291">
        <f>IFERROR(XLOOKUP(C291,'Vendor Master'!$A$6:$A$15,'Vendor Master'!$B$6:$B$15,""),"")</f>
        <v/>
      </c>
      <c r="J291">
        <f>IF(A291="","",TEXT(A291,"mmm-yyyy"))</f>
        <v/>
      </c>
    </row>
    <row r="292">
      <c r="D292">
        <f>IFERROR(XLOOKUP(C292,'Vendor Master'!$A$6:$A$15,'Vendor Master'!$B$6:$B$15,""),"")</f>
        <v/>
      </c>
      <c r="J292">
        <f>IF(A292="","",TEXT(A292,"mmm-yyyy"))</f>
        <v/>
      </c>
    </row>
    <row r="293">
      <c r="D293">
        <f>IFERROR(XLOOKUP(C293,'Vendor Master'!$A$6:$A$15,'Vendor Master'!$B$6:$B$15,""),"")</f>
        <v/>
      </c>
      <c r="J293">
        <f>IF(A293="","",TEXT(A293,"mmm-yyyy"))</f>
        <v/>
      </c>
    </row>
    <row r="294">
      <c r="D294">
        <f>IFERROR(XLOOKUP(C294,'Vendor Master'!$A$6:$A$15,'Vendor Master'!$B$6:$B$15,""),"")</f>
        <v/>
      </c>
      <c r="J294">
        <f>IF(A294="","",TEXT(A294,"mmm-yyyy"))</f>
        <v/>
      </c>
    </row>
    <row r="295">
      <c r="D295">
        <f>IFERROR(XLOOKUP(C295,'Vendor Master'!$A$6:$A$15,'Vendor Master'!$B$6:$B$15,""),"")</f>
        <v/>
      </c>
      <c r="J295">
        <f>IF(A295="","",TEXT(A295,"mmm-yyyy"))</f>
        <v/>
      </c>
    </row>
    <row r="296">
      <c r="D296">
        <f>IFERROR(XLOOKUP(C296,'Vendor Master'!$A$6:$A$15,'Vendor Master'!$B$6:$B$15,""),"")</f>
        <v/>
      </c>
      <c r="J296">
        <f>IF(A296="","",TEXT(A296,"mmm-yyyy"))</f>
        <v/>
      </c>
    </row>
    <row r="297">
      <c r="D297">
        <f>IFERROR(XLOOKUP(C297,'Vendor Master'!$A$6:$A$15,'Vendor Master'!$B$6:$B$15,""),"")</f>
        <v/>
      </c>
      <c r="J297">
        <f>IF(A297="","",TEXT(A297,"mmm-yyyy"))</f>
        <v/>
      </c>
    </row>
    <row r="298">
      <c r="D298">
        <f>IFERROR(XLOOKUP(C298,'Vendor Master'!$A$6:$A$15,'Vendor Master'!$B$6:$B$15,""),"")</f>
        <v/>
      </c>
      <c r="J298">
        <f>IF(A298="","",TEXT(A298,"mmm-yyyy"))</f>
        <v/>
      </c>
    </row>
    <row r="299">
      <c r="D299">
        <f>IFERROR(XLOOKUP(C299,'Vendor Master'!$A$6:$A$15,'Vendor Master'!$B$6:$B$15,""),"")</f>
        <v/>
      </c>
      <c r="J299">
        <f>IF(A299="","",TEXT(A299,"mmm-yyyy"))</f>
        <v/>
      </c>
    </row>
    <row r="300">
      <c r="D300">
        <f>IFERROR(XLOOKUP(C300,'Vendor Master'!$A$6:$A$15,'Vendor Master'!$B$6:$B$15,""),"")</f>
        <v/>
      </c>
      <c r="J300">
        <f>IF(A300="","",TEXT(A300,"mmm-yyyy"))</f>
        <v/>
      </c>
    </row>
    <row r="301">
      <c r="D301">
        <f>IFERROR(XLOOKUP(C301,'Vendor Master'!$A$6:$A$15,'Vendor Master'!$B$6:$B$15,""),"")</f>
        <v/>
      </c>
      <c r="J301">
        <f>IF(A301="","",TEXT(A301,"mmm-yyyy"))</f>
        <v/>
      </c>
    </row>
    <row r="302">
      <c r="D302">
        <f>IFERROR(XLOOKUP(C302,'Vendor Master'!$A$6:$A$15,'Vendor Master'!$B$6:$B$15,""),"")</f>
        <v/>
      </c>
      <c r="J302">
        <f>IF(A302="","",TEXT(A302,"mmm-yyyy"))</f>
        <v/>
      </c>
    </row>
    <row r="303">
      <c r="D303">
        <f>IFERROR(XLOOKUP(C303,'Vendor Master'!$A$6:$A$15,'Vendor Master'!$B$6:$B$15,""),"")</f>
        <v/>
      </c>
      <c r="J303">
        <f>IF(A303="","",TEXT(A303,"mmm-yyyy"))</f>
        <v/>
      </c>
    </row>
    <row r="304">
      <c r="D304">
        <f>IFERROR(XLOOKUP(C304,'Vendor Master'!$A$6:$A$15,'Vendor Master'!$B$6:$B$15,""),"")</f>
        <v/>
      </c>
      <c r="J304">
        <f>IF(A304="","",TEXT(A304,"mmm-yyyy"))</f>
        <v/>
      </c>
    </row>
    <row r="305">
      <c r="D305">
        <f>IFERROR(XLOOKUP(C305,'Vendor Master'!$A$6:$A$15,'Vendor Master'!$B$6:$B$15,""),"")</f>
        <v/>
      </c>
      <c r="J305">
        <f>IF(A305="","",TEXT(A305,"mmm-yyyy"))</f>
        <v/>
      </c>
    </row>
    <row r="306">
      <c r="D306">
        <f>IFERROR(XLOOKUP(C306,'Vendor Master'!$A$6:$A$15,'Vendor Master'!$B$6:$B$15,""),"")</f>
        <v/>
      </c>
      <c r="J306">
        <f>IF(A306="","",TEXT(A306,"mmm-yyyy"))</f>
        <v/>
      </c>
    </row>
    <row r="307">
      <c r="D307">
        <f>IFERROR(XLOOKUP(C307,'Vendor Master'!$A$6:$A$15,'Vendor Master'!$B$6:$B$15,""),"")</f>
        <v/>
      </c>
      <c r="J307">
        <f>IF(A307="","",TEXT(A307,"mmm-yyyy"))</f>
        <v/>
      </c>
    </row>
    <row r="308">
      <c r="D308">
        <f>IFERROR(XLOOKUP(C308,'Vendor Master'!$A$6:$A$15,'Vendor Master'!$B$6:$B$15,""),"")</f>
        <v/>
      </c>
      <c r="J308">
        <f>IF(A308="","",TEXT(A308,"mmm-yyyy"))</f>
        <v/>
      </c>
    </row>
    <row r="309">
      <c r="D309">
        <f>IFERROR(XLOOKUP(C309,'Vendor Master'!$A$6:$A$15,'Vendor Master'!$B$6:$B$15,""),"")</f>
        <v/>
      </c>
      <c r="J309">
        <f>IF(A309="","",TEXT(A309,"mmm-yyyy"))</f>
        <v/>
      </c>
    </row>
    <row r="310">
      <c r="D310">
        <f>IFERROR(XLOOKUP(C310,'Vendor Master'!$A$6:$A$15,'Vendor Master'!$B$6:$B$15,""),"")</f>
        <v/>
      </c>
      <c r="J310">
        <f>IF(A310="","",TEXT(A310,"mmm-yyyy"))</f>
        <v/>
      </c>
    </row>
    <row r="311">
      <c r="D311">
        <f>IFERROR(XLOOKUP(C311,'Vendor Master'!$A$6:$A$15,'Vendor Master'!$B$6:$B$15,""),"")</f>
        <v/>
      </c>
      <c r="J311">
        <f>IF(A311="","",TEXT(A311,"mmm-yyyy"))</f>
        <v/>
      </c>
    </row>
    <row r="312">
      <c r="D312">
        <f>IFERROR(XLOOKUP(C312,'Vendor Master'!$A$6:$A$15,'Vendor Master'!$B$6:$B$15,""),"")</f>
        <v/>
      </c>
      <c r="J312">
        <f>IF(A312="","",TEXT(A312,"mmm-yyyy"))</f>
        <v/>
      </c>
    </row>
    <row r="313">
      <c r="D313">
        <f>IFERROR(XLOOKUP(C313,'Vendor Master'!$A$6:$A$15,'Vendor Master'!$B$6:$B$15,""),"")</f>
        <v/>
      </c>
      <c r="J313">
        <f>IF(A313="","",TEXT(A313,"mmm-yyyy"))</f>
        <v/>
      </c>
    </row>
    <row r="314">
      <c r="D314">
        <f>IFERROR(XLOOKUP(C314,'Vendor Master'!$A$6:$A$15,'Vendor Master'!$B$6:$B$15,""),"")</f>
        <v/>
      </c>
      <c r="J314">
        <f>IF(A314="","",TEXT(A314,"mmm-yyyy"))</f>
        <v/>
      </c>
    </row>
    <row r="315">
      <c r="D315">
        <f>IFERROR(XLOOKUP(C315,'Vendor Master'!$A$6:$A$15,'Vendor Master'!$B$6:$B$15,""),"")</f>
        <v/>
      </c>
      <c r="J315">
        <f>IF(A315="","",TEXT(A315,"mmm-yyyy"))</f>
        <v/>
      </c>
    </row>
    <row r="316">
      <c r="D316">
        <f>IFERROR(XLOOKUP(C316,'Vendor Master'!$A$6:$A$15,'Vendor Master'!$B$6:$B$15,""),"")</f>
        <v/>
      </c>
      <c r="J316">
        <f>IF(A316="","",TEXT(A316,"mmm-yyyy"))</f>
        <v/>
      </c>
    </row>
    <row r="317">
      <c r="D317">
        <f>IFERROR(XLOOKUP(C317,'Vendor Master'!$A$6:$A$15,'Vendor Master'!$B$6:$B$15,""),"")</f>
        <v/>
      </c>
      <c r="J317">
        <f>IF(A317="","",TEXT(A317,"mmm-yyyy"))</f>
        <v/>
      </c>
    </row>
    <row r="318">
      <c r="D318">
        <f>IFERROR(XLOOKUP(C318,'Vendor Master'!$A$6:$A$15,'Vendor Master'!$B$6:$B$15,""),"")</f>
        <v/>
      </c>
      <c r="J318">
        <f>IF(A318="","",TEXT(A318,"mmm-yyyy"))</f>
        <v/>
      </c>
    </row>
    <row r="319">
      <c r="D319">
        <f>IFERROR(XLOOKUP(C319,'Vendor Master'!$A$6:$A$15,'Vendor Master'!$B$6:$B$15,""),"")</f>
        <v/>
      </c>
      <c r="J319">
        <f>IF(A319="","",TEXT(A319,"mmm-yyyy"))</f>
        <v/>
      </c>
    </row>
    <row r="320">
      <c r="D320">
        <f>IFERROR(XLOOKUP(C320,'Vendor Master'!$A$6:$A$15,'Vendor Master'!$B$6:$B$15,""),"")</f>
        <v/>
      </c>
      <c r="J320">
        <f>IF(A320="","",TEXT(A320,"mmm-yyyy"))</f>
        <v/>
      </c>
    </row>
    <row r="321">
      <c r="D321">
        <f>IFERROR(XLOOKUP(C321,'Vendor Master'!$A$6:$A$15,'Vendor Master'!$B$6:$B$15,""),"")</f>
        <v/>
      </c>
      <c r="J321">
        <f>IF(A321="","",TEXT(A321,"mmm-yyyy"))</f>
        <v/>
      </c>
    </row>
    <row r="322">
      <c r="D322">
        <f>IFERROR(XLOOKUP(C322,'Vendor Master'!$A$6:$A$15,'Vendor Master'!$B$6:$B$15,""),"")</f>
        <v/>
      </c>
      <c r="J322">
        <f>IF(A322="","",TEXT(A322,"mmm-yyyy"))</f>
        <v/>
      </c>
    </row>
    <row r="323">
      <c r="D323">
        <f>IFERROR(XLOOKUP(C323,'Vendor Master'!$A$6:$A$15,'Vendor Master'!$B$6:$B$15,""),"")</f>
        <v/>
      </c>
      <c r="J323">
        <f>IF(A323="","",TEXT(A323,"mmm-yyyy"))</f>
        <v/>
      </c>
    </row>
    <row r="324">
      <c r="D324">
        <f>IFERROR(XLOOKUP(C324,'Vendor Master'!$A$6:$A$15,'Vendor Master'!$B$6:$B$15,""),"")</f>
        <v/>
      </c>
      <c r="J324">
        <f>IF(A324="","",TEXT(A324,"mmm-yyyy"))</f>
        <v/>
      </c>
    </row>
    <row r="325">
      <c r="D325">
        <f>IFERROR(XLOOKUP(C325,'Vendor Master'!$A$6:$A$15,'Vendor Master'!$B$6:$B$15,""),"")</f>
        <v/>
      </c>
      <c r="J325">
        <f>IF(A325="","",TEXT(A325,"mmm-yyyy"))</f>
        <v/>
      </c>
    </row>
    <row r="326">
      <c r="D326">
        <f>IFERROR(XLOOKUP(C326,'Vendor Master'!$A$6:$A$15,'Vendor Master'!$B$6:$B$15,""),"")</f>
        <v/>
      </c>
      <c r="J326">
        <f>IF(A326="","",TEXT(A326,"mmm-yyyy"))</f>
        <v/>
      </c>
    </row>
    <row r="327">
      <c r="D327">
        <f>IFERROR(XLOOKUP(C327,'Vendor Master'!$A$6:$A$15,'Vendor Master'!$B$6:$B$15,""),"")</f>
        <v/>
      </c>
      <c r="J327">
        <f>IF(A327="","",TEXT(A327,"mmm-yyyy"))</f>
        <v/>
      </c>
    </row>
    <row r="328">
      <c r="D328">
        <f>IFERROR(XLOOKUP(C328,'Vendor Master'!$A$6:$A$15,'Vendor Master'!$B$6:$B$15,""),"")</f>
        <v/>
      </c>
      <c r="J328">
        <f>IF(A328="","",TEXT(A328,"mmm-yyyy"))</f>
        <v/>
      </c>
    </row>
    <row r="329">
      <c r="D329">
        <f>IFERROR(XLOOKUP(C329,'Vendor Master'!$A$6:$A$15,'Vendor Master'!$B$6:$B$15,""),"")</f>
        <v/>
      </c>
      <c r="J329">
        <f>IF(A329="","",TEXT(A329,"mmm-yyyy"))</f>
        <v/>
      </c>
    </row>
    <row r="330">
      <c r="D330">
        <f>IFERROR(XLOOKUP(C330,'Vendor Master'!$A$6:$A$15,'Vendor Master'!$B$6:$B$15,""),"")</f>
        <v/>
      </c>
      <c r="J330">
        <f>IF(A330="","",TEXT(A330,"mmm-yyyy"))</f>
        <v/>
      </c>
    </row>
    <row r="331">
      <c r="D331">
        <f>IFERROR(XLOOKUP(C331,'Vendor Master'!$A$6:$A$15,'Vendor Master'!$B$6:$B$15,""),"")</f>
        <v/>
      </c>
      <c r="J331">
        <f>IF(A331="","",TEXT(A331,"mmm-yyyy"))</f>
        <v/>
      </c>
    </row>
    <row r="332">
      <c r="D332">
        <f>IFERROR(XLOOKUP(C332,'Vendor Master'!$A$6:$A$15,'Vendor Master'!$B$6:$B$15,""),"")</f>
        <v/>
      </c>
      <c r="J332">
        <f>IF(A332="","",TEXT(A332,"mmm-yyyy"))</f>
        <v/>
      </c>
    </row>
    <row r="333">
      <c r="D333">
        <f>IFERROR(XLOOKUP(C333,'Vendor Master'!$A$6:$A$15,'Vendor Master'!$B$6:$B$15,""),"")</f>
        <v/>
      </c>
      <c r="J333">
        <f>IF(A333="","",TEXT(A333,"mmm-yyyy"))</f>
        <v/>
      </c>
    </row>
    <row r="334">
      <c r="D334">
        <f>IFERROR(XLOOKUP(C334,'Vendor Master'!$A$6:$A$15,'Vendor Master'!$B$6:$B$15,""),"")</f>
        <v/>
      </c>
      <c r="J334">
        <f>IF(A334="","",TEXT(A334,"mmm-yyyy"))</f>
        <v/>
      </c>
    </row>
    <row r="335">
      <c r="D335">
        <f>IFERROR(XLOOKUP(C335,'Vendor Master'!$A$6:$A$15,'Vendor Master'!$B$6:$B$15,""),"")</f>
        <v/>
      </c>
      <c r="J335">
        <f>IF(A335="","",TEXT(A335,"mmm-yyyy"))</f>
        <v/>
      </c>
    </row>
    <row r="336">
      <c r="D336">
        <f>IFERROR(XLOOKUP(C336,'Vendor Master'!$A$6:$A$15,'Vendor Master'!$B$6:$B$15,""),"")</f>
        <v/>
      </c>
      <c r="J336">
        <f>IF(A336="","",TEXT(A336,"mmm-yyyy"))</f>
        <v/>
      </c>
    </row>
    <row r="337">
      <c r="D337">
        <f>IFERROR(XLOOKUP(C337,'Vendor Master'!$A$6:$A$15,'Vendor Master'!$B$6:$B$15,""),"")</f>
        <v/>
      </c>
      <c r="J337">
        <f>IF(A337="","",TEXT(A337,"mmm-yyyy"))</f>
        <v/>
      </c>
    </row>
    <row r="338">
      <c r="D338">
        <f>IFERROR(XLOOKUP(C338,'Vendor Master'!$A$6:$A$15,'Vendor Master'!$B$6:$B$15,""),"")</f>
        <v/>
      </c>
      <c r="J338">
        <f>IF(A338="","",TEXT(A338,"mmm-yyyy"))</f>
        <v/>
      </c>
    </row>
    <row r="339">
      <c r="D339">
        <f>IFERROR(XLOOKUP(C339,'Vendor Master'!$A$6:$A$15,'Vendor Master'!$B$6:$B$15,""),"")</f>
        <v/>
      </c>
      <c r="J339">
        <f>IF(A339="","",TEXT(A339,"mmm-yyyy"))</f>
        <v/>
      </c>
    </row>
    <row r="340">
      <c r="D340">
        <f>IFERROR(XLOOKUP(C340,'Vendor Master'!$A$6:$A$15,'Vendor Master'!$B$6:$B$15,""),"")</f>
        <v/>
      </c>
      <c r="J340">
        <f>IF(A340="","",TEXT(A340,"mmm-yyyy"))</f>
        <v/>
      </c>
    </row>
    <row r="341">
      <c r="D341">
        <f>IFERROR(XLOOKUP(C341,'Vendor Master'!$A$6:$A$15,'Vendor Master'!$B$6:$B$15,""),"")</f>
        <v/>
      </c>
      <c r="J341">
        <f>IF(A341="","",TEXT(A341,"mmm-yyyy"))</f>
        <v/>
      </c>
    </row>
    <row r="342">
      <c r="D342">
        <f>IFERROR(XLOOKUP(C342,'Vendor Master'!$A$6:$A$15,'Vendor Master'!$B$6:$B$15,""),"")</f>
        <v/>
      </c>
      <c r="J342">
        <f>IF(A342="","",TEXT(A342,"mmm-yyyy"))</f>
        <v/>
      </c>
    </row>
    <row r="343">
      <c r="D343">
        <f>IFERROR(XLOOKUP(C343,'Vendor Master'!$A$6:$A$15,'Vendor Master'!$B$6:$B$15,""),"")</f>
        <v/>
      </c>
      <c r="J343">
        <f>IF(A343="","",TEXT(A343,"mmm-yyyy"))</f>
        <v/>
      </c>
    </row>
    <row r="344">
      <c r="D344">
        <f>IFERROR(XLOOKUP(C344,'Vendor Master'!$A$6:$A$15,'Vendor Master'!$B$6:$B$15,""),"")</f>
        <v/>
      </c>
      <c r="J344">
        <f>IF(A344="","",TEXT(A344,"mmm-yyyy"))</f>
        <v/>
      </c>
    </row>
    <row r="345">
      <c r="D345">
        <f>IFERROR(XLOOKUP(C345,'Vendor Master'!$A$6:$A$15,'Vendor Master'!$B$6:$B$15,""),"")</f>
        <v/>
      </c>
      <c r="J345">
        <f>IF(A345="","",TEXT(A345,"mmm-yyyy"))</f>
        <v/>
      </c>
    </row>
    <row r="346">
      <c r="D346">
        <f>IFERROR(XLOOKUP(C346,'Vendor Master'!$A$6:$A$15,'Vendor Master'!$B$6:$B$15,""),"")</f>
        <v/>
      </c>
      <c r="J346">
        <f>IF(A346="","",TEXT(A346,"mmm-yyyy"))</f>
        <v/>
      </c>
    </row>
    <row r="347">
      <c r="D347">
        <f>IFERROR(XLOOKUP(C347,'Vendor Master'!$A$6:$A$15,'Vendor Master'!$B$6:$B$15,""),"")</f>
        <v/>
      </c>
      <c r="J347">
        <f>IF(A347="","",TEXT(A347,"mmm-yyyy"))</f>
        <v/>
      </c>
    </row>
    <row r="348">
      <c r="D348">
        <f>IFERROR(XLOOKUP(C348,'Vendor Master'!$A$6:$A$15,'Vendor Master'!$B$6:$B$15,""),"")</f>
        <v/>
      </c>
      <c r="J348">
        <f>IF(A348="","",TEXT(A348,"mmm-yyyy"))</f>
        <v/>
      </c>
    </row>
    <row r="349">
      <c r="D349">
        <f>IFERROR(XLOOKUP(C349,'Vendor Master'!$A$6:$A$15,'Vendor Master'!$B$6:$B$15,""),"")</f>
        <v/>
      </c>
      <c r="J349">
        <f>IF(A349="","",TEXT(A349,"mmm-yyyy"))</f>
        <v/>
      </c>
    </row>
    <row r="350">
      <c r="D350">
        <f>IFERROR(XLOOKUP(C350,'Vendor Master'!$A$6:$A$15,'Vendor Master'!$B$6:$B$15,""),"")</f>
        <v/>
      </c>
      <c r="J350">
        <f>IF(A350="","",TEXT(A350,"mmm-yyyy"))</f>
        <v/>
      </c>
    </row>
    <row r="351">
      <c r="D351">
        <f>IFERROR(XLOOKUP(C351,'Vendor Master'!$A$6:$A$15,'Vendor Master'!$B$6:$B$15,""),"")</f>
        <v/>
      </c>
      <c r="J351">
        <f>IF(A351="","",TEXT(A351,"mmm-yyyy"))</f>
        <v/>
      </c>
    </row>
    <row r="352">
      <c r="D352">
        <f>IFERROR(XLOOKUP(C352,'Vendor Master'!$A$6:$A$15,'Vendor Master'!$B$6:$B$15,""),"")</f>
        <v/>
      </c>
      <c r="J352">
        <f>IF(A352="","",TEXT(A352,"mmm-yyyy"))</f>
        <v/>
      </c>
    </row>
    <row r="353">
      <c r="D353">
        <f>IFERROR(XLOOKUP(C353,'Vendor Master'!$A$6:$A$15,'Vendor Master'!$B$6:$B$15,""),"")</f>
        <v/>
      </c>
      <c r="J353">
        <f>IF(A353="","",TEXT(A353,"mmm-yyyy"))</f>
        <v/>
      </c>
    </row>
    <row r="354">
      <c r="D354">
        <f>IFERROR(XLOOKUP(C354,'Vendor Master'!$A$6:$A$15,'Vendor Master'!$B$6:$B$15,""),"")</f>
        <v/>
      </c>
      <c r="J354">
        <f>IF(A354="","",TEXT(A354,"mmm-yyyy"))</f>
        <v/>
      </c>
    </row>
    <row r="355">
      <c r="D355">
        <f>IFERROR(XLOOKUP(C355,'Vendor Master'!$A$6:$A$15,'Vendor Master'!$B$6:$B$15,""),"")</f>
        <v/>
      </c>
      <c r="J355">
        <f>IF(A355="","",TEXT(A355,"mmm-yyyy"))</f>
        <v/>
      </c>
    </row>
    <row r="356">
      <c r="D356">
        <f>IFERROR(XLOOKUP(C356,'Vendor Master'!$A$6:$A$15,'Vendor Master'!$B$6:$B$15,""),"")</f>
        <v/>
      </c>
      <c r="J356">
        <f>IF(A356="","",TEXT(A356,"mmm-yyyy"))</f>
        <v/>
      </c>
    </row>
    <row r="357">
      <c r="D357">
        <f>IFERROR(XLOOKUP(C357,'Vendor Master'!$A$6:$A$15,'Vendor Master'!$B$6:$B$15,""),"")</f>
        <v/>
      </c>
      <c r="J357">
        <f>IF(A357="","",TEXT(A357,"mmm-yyyy"))</f>
        <v/>
      </c>
    </row>
    <row r="358">
      <c r="D358">
        <f>IFERROR(XLOOKUP(C358,'Vendor Master'!$A$6:$A$15,'Vendor Master'!$B$6:$B$15,""),"")</f>
        <v/>
      </c>
      <c r="J358">
        <f>IF(A358="","",TEXT(A358,"mmm-yyyy"))</f>
        <v/>
      </c>
    </row>
    <row r="359">
      <c r="D359">
        <f>IFERROR(XLOOKUP(C359,'Vendor Master'!$A$6:$A$15,'Vendor Master'!$B$6:$B$15,""),"")</f>
        <v/>
      </c>
      <c r="J359">
        <f>IF(A359="","",TEXT(A359,"mmm-yyyy"))</f>
        <v/>
      </c>
    </row>
    <row r="360">
      <c r="D360">
        <f>IFERROR(XLOOKUP(C360,'Vendor Master'!$A$6:$A$15,'Vendor Master'!$B$6:$B$15,""),"")</f>
        <v/>
      </c>
      <c r="J360">
        <f>IF(A360="","",TEXT(A360,"mmm-yyyy"))</f>
        <v/>
      </c>
    </row>
    <row r="361">
      <c r="D361">
        <f>IFERROR(XLOOKUP(C361,'Vendor Master'!$A$6:$A$15,'Vendor Master'!$B$6:$B$15,""),"")</f>
        <v/>
      </c>
      <c r="J361">
        <f>IF(A361="","",TEXT(A361,"mmm-yyyy"))</f>
        <v/>
      </c>
    </row>
    <row r="362">
      <c r="D362">
        <f>IFERROR(XLOOKUP(C362,'Vendor Master'!$A$6:$A$15,'Vendor Master'!$B$6:$B$15,""),"")</f>
        <v/>
      </c>
      <c r="J362">
        <f>IF(A362="","",TEXT(A362,"mmm-yyyy"))</f>
        <v/>
      </c>
    </row>
    <row r="363">
      <c r="D363">
        <f>IFERROR(XLOOKUP(C363,'Vendor Master'!$A$6:$A$15,'Vendor Master'!$B$6:$B$15,""),"")</f>
        <v/>
      </c>
      <c r="J363">
        <f>IF(A363="","",TEXT(A363,"mmm-yyyy"))</f>
        <v/>
      </c>
    </row>
    <row r="364">
      <c r="D364">
        <f>IFERROR(XLOOKUP(C364,'Vendor Master'!$A$6:$A$15,'Vendor Master'!$B$6:$B$15,""),"")</f>
        <v/>
      </c>
      <c r="J364">
        <f>IF(A364="","",TEXT(A364,"mmm-yyyy"))</f>
        <v/>
      </c>
    </row>
    <row r="365">
      <c r="D365">
        <f>IFERROR(XLOOKUP(C365,'Vendor Master'!$A$6:$A$15,'Vendor Master'!$B$6:$B$15,""),"")</f>
        <v/>
      </c>
      <c r="J365">
        <f>IF(A365="","",TEXT(A365,"mmm-yyyy"))</f>
        <v/>
      </c>
    </row>
    <row r="366">
      <c r="D366">
        <f>IFERROR(XLOOKUP(C366,'Vendor Master'!$A$6:$A$15,'Vendor Master'!$B$6:$B$15,""),"")</f>
        <v/>
      </c>
      <c r="J366">
        <f>IF(A366="","",TEXT(A366,"mmm-yyyy"))</f>
        <v/>
      </c>
    </row>
    <row r="367">
      <c r="D367">
        <f>IFERROR(XLOOKUP(C367,'Vendor Master'!$A$6:$A$15,'Vendor Master'!$B$6:$B$15,""),"")</f>
        <v/>
      </c>
      <c r="J367">
        <f>IF(A367="","",TEXT(A367,"mmm-yyyy"))</f>
        <v/>
      </c>
    </row>
    <row r="368">
      <c r="D368">
        <f>IFERROR(XLOOKUP(C368,'Vendor Master'!$A$6:$A$15,'Vendor Master'!$B$6:$B$15,""),"")</f>
        <v/>
      </c>
      <c r="J368">
        <f>IF(A368="","",TEXT(A368,"mmm-yyyy"))</f>
        <v/>
      </c>
    </row>
    <row r="369">
      <c r="D369">
        <f>IFERROR(XLOOKUP(C369,'Vendor Master'!$A$6:$A$15,'Vendor Master'!$B$6:$B$15,""),"")</f>
        <v/>
      </c>
      <c r="J369">
        <f>IF(A369="","",TEXT(A369,"mmm-yyyy"))</f>
        <v/>
      </c>
    </row>
    <row r="370">
      <c r="D370">
        <f>IFERROR(XLOOKUP(C370,'Vendor Master'!$A$6:$A$15,'Vendor Master'!$B$6:$B$15,""),"")</f>
        <v/>
      </c>
      <c r="J370">
        <f>IF(A370="","",TEXT(A370,"mmm-yyyy"))</f>
        <v/>
      </c>
    </row>
    <row r="371">
      <c r="D371">
        <f>IFERROR(XLOOKUP(C371,'Vendor Master'!$A$6:$A$15,'Vendor Master'!$B$6:$B$15,""),"")</f>
        <v/>
      </c>
      <c r="J371">
        <f>IF(A371="","",TEXT(A371,"mmm-yyyy"))</f>
        <v/>
      </c>
    </row>
    <row r="372">
      <c r="D372">
        <f>IFERROR(XLOOKUP(C372,'Vendor Master'!$A$6:$A$15,'Vendor Master'!$B$6:$B$15,""),"")</f>
        <v/>
      </c>
      <c r="J372">
        <f>IF(A372="","",TEXT(A372,"mmm-yyyy"))</f>
        <v/>
      </c>
    </row>
    <row r="373">
      <c r="D373">
        <f>IFERROR(XLOOKUP(C373,'Vendor Master'!$A$6:$A$15,'Vendor Master'!$B$6:$B$15,""),"")</f>
        <v/>
      </c>
      <c r="J373">
        <f>IF(A373="","",TEXT(A373,"mmm-yyyy"))</f>
        <v/>
      </c>
    </row>
    <row r="374">
      <c r="D374">
        <f>IFERROR(XLOOKUP(C374,'Vendor Master'!$A$6:$A$15,'Vendor Master'!$B$6:$B$15,""),"")</f>
        <v/>
      </c>
      <c r="J374">
        <f>IF(A374="","",TEXT(A374,"mmm-yyyy"))</f>
        <v/>
      </c>
    </row>
    <row r="375">
      <c r="D375">
        <f>IFERROR(XLOOKUP(C375,'Vendor Master'!$A$6:$A$15,'Vendor Master'!$B$6:$B$15,""),"")</f>
        <v/>
      </c>
      <c r="J375">
        <f>IF(A375="","",TEXT(A375,"mmm-yyyy"))</f>
        <v/>
      </c>
    </row>
    <row r="376">
      <c r="D376">
        <f>IFERROR(XLOOKUP(C376,'Vendor Master'!$A$6:$A$15,'Vendor Master'!$B$6:$B$15,""),"")</f>
        <v/>
      </c>
      <c r="J376">
        <f>IF(A376="","",TEXT(A376,"mmm-yyyy"))</f>
        <v/>
      </c>
    </row>
    <row r="377">
      <c r="D377">
        <f>IFERROR(XLOOKUP(C377,'Vendor Master'!$A$6:$A$15,'Vendor Master'!$B$6:$B$15,""),"")</f>
        <v/>
      </c>
      <c r="J377">
        <f>IF(A377="","",TEXT(A377,"mmm-yyyy"))</f>
        <v/>
      </c>
    </row>
    <row r="378">
      <c r="D378">
        <f>IFERROR(XLOOKUP(C378,'Vendor Master'!$A$6:$A$15,'Vendor Master'!$B$6:$B$15,""),"")</f>
        <v/>
      </c>
      <c r="J378">
        <f>IF(A378="","",TEXT(A378,"mmm-yyyy"))</f>
        <v/>
      </c>
    </row>
    <row r="379">
      <c r="D379">
        <f>IFERROR(XLOOKUP(C379,'Vendor Master'!$A$6:$A$15,'Vendor Master'!$B$6:$B$15,""),"")</f>
        <v/>
      </c>
      <c r="J379">
        <f>IF(A379="","",TEXT(A379,"mmm-yyyy"))</f>
        <v/>
      </c>
    </row>
    <row r="380">
      <c r="D380">
        <f>IFERROR(XLOOKUP(C380,'Vendor Master'!$A$6:$A$15,'Vendor Master'!$B$6:$B$15,""),"")</f>
        <v/>
      </c>
      <c r="J380">
        <f>IF(A380="","",TEXT(A380,"mmm-yyyy"))</f>
        <v/>
      </c>
    </row>
    <row r="381">
      <c r="D381">
        <f>IFERROR(XLOOKUP(C381,'Vendor Master'!$A$6:$A$15,'Vendor Master'!$B$6:$B$15,""),"")</f>
        <v/>
      </c>
      <c r="J381">
        <f>IF(A381="","",TEXT(A381,"mmm-yyyy"))</f>
        <v/>
      </c>
    </row>
    <row r="382">
      <c r="D382">
        <f>IFERROR(XLOOKUP(C382,'Vendor Master'!$A$6:$A$15,'Vendor Master'!$B$6:$B$15,""),"")</f>
        <v/>
      </c>
      <c r="J382">
        <f>IF(A382="","",TEXT(A382,"mmm-yyyy"))</f>
        <v/>
      </c>
    </row>
    <row r="383">
      <c r="D383">
        <f>IFERROR(XLOOKUP(C383,'Vendor Master'!$A$6:$A$15,'Vendor Master'!$B$6:$B$15,""),"")</f>
        <v/>
      </c>
      <c r="J383">
        <f>IF(A383="","",TEXT(A383,"mmm-yyyy"))</f>
        <v/>
      </c>
    </row>
    <row r="384">
      <c r="D384">
        <f>IFERROR(XLOOKUP(C384,'Vendor Master'!$A$6:$A$15,'Vendor Master'!$B$6:$B$15,""),"")</f>
        <v/>
      </c>
      <c r="J384">
        <f>IF(A384="","",TEXT(A384,"mmm-yyyy"))</f>
        <v/>
      </c>
    </row>
    <row r="385">
      <c r="D385">
        <f>IFERROR(XLOOKUP(C385,'Vendor Master'!$A$6:$A$15,'Vendor Master'!$B$6:$B$15,""),"")</f>
        <v/>
      </c>
      <c r="J385">
        <f>IF(A385="","",TEXT(A385,"mmm-yyyy"))</f>
        <v/>
      </c>
    </row>
    <row r="386">
      <c r="D386">
        <f>IFERROR(XLOOKUP(C386,'Vendor Master'!$A$6:$A$15,'Vendor Master'!$B$6:$B$15,""),"")</f>
        <v/>
      </c>
      <c r="J386">
        <f>IF(A386="","",TEXT(A386,"mmm-yyyy"))</f>
        <v/>
      </c>
    </row>
    <row r="387">
      <c r="D387">
        <f>IFERROR(XLOOKUP(C387,'Vendor Master'!$A$6:$A$15,'Vendor Master'!$B$6:$B$15,""),"")</f>
        <v/>
      </c>
      <c r="J387">
        <f>IF(A387="","",TEXT(A387,"mmm-yyyy"))</f>
        <v/>
      </c>
    </row>
    <row r="388">
      <c r="D388">
        <f>IFERROR(XLOOKUP(C388,'Vendor Master'!$A$6:$A$15,'Vendor Master'!$B$6:$B$15,""),"")</f>
        <v/>
      </c>
      <c r="J388">
        <f>IF(A388="","",TEXT(A388,"mmm-yyyy"))</f>
        <v/>
      </c>
    </row>
    <row r="389">
      <c r="D389">
        <f>IFERROR(XLOOKUP(C389,'Vendor Master'!$A$6:$A$15,'Vendor Master'!$B$6:$B$15,""),"")</f>
        <v/>
      </c>
      <c r="J389">
        <f>IF(A389="","",TEXT(A389,"mmm-yyyy"))</f>
        <v/>
      </c>
    </row>
    <row r="390">
      <c r="D390">
        <f>IFERROR(XLOOKUP(C390,'Vendor Master'!$A$6:$A$15,'Vendor Master'!$B$6:$B$15,""),"")</f>
        <v/>
      </c>
      <c r="J390">
        <f>IF(A390="","",TEXT(A390,"mmm-yyyy"))</f>
        <v/>
      </c>
    </row>
    <row r="391">
      <c r="D391">
        <f>IFERROR(XLOOKUP(C391,'Vendor Master'!$A$6:$A$15,'Vendor Master'!$B$6:$B$15,""),"")</f>
        <v/>
      </c>
      <c r="J391">
        <f>IF(A391="","",TEXT(A391,"mmm-yyyy"))</f>
        <v/>
      </c>
    </row>
    <row r="392">
      <c r="D392">
        <f>IFERROR(XLOOKUP(C392,'Vendor Master'!$A$6:$A$15,'Vendor Master'!$B$6:$B$15,""),"")</f>
        <v/>
      </c>
      <c r="J392">
        <f>IF(A392="","",TEXT(A392,"mmm-yyyy"))</f>
        <v/>
      </c>
    </row>
    <row r="393">
      <c r="D393">
        <f>IFERROR(XLOOKUP(C393,'Vendor Master'!$A$6:$A$15,'Vendor Master'!$B$6:$B$15,""),"")</f>
        <v/>
      </c>
      <c r="J393">
        <f>IF(A393="","",TEXT(A393,"mmm-yyyy"))</f>
        <v/>
      </c>
    </row>
    <row r="394">
      <c r="D394">
        <f>IFERROR(XLOOKUP(C394,'Vendor Master'!$A$6:$A$15,'Vendor Master'!$B$6:$B$15,""),"")</f>
        <v/>
      </c>
      <c r="J394">
        <f>IF(A394="","",TEXT(A394,"mmm-yyyy"))</f>
        <v/>
      </c>
    </row>
    <row r="395">
      <c r="D395">
        <f>IFERROR(XLOOKUP(C395,'Vendor Master'!$A$6:$A$15,'Vendor Master'!$B$6:$B$15,""),"")</f>
        <v/>
      </c>
      <c r="J395">
        <f>IF(A395="","",TEXT(A395,"mmm-yyyy"))</f>
        <v/>
      </c>
    </row>
    <row r="396">
      <c r="D396">
        <f>IFERROR(XLOOKUP(C396,'Vendor Master'!$A$6:$A$15,'Vendor Master'!$B$6:$B$15,""),"")</f>
        <v/>
      </c>
      <c r="J396">
        <f>IF(A396="","",TEXT(A396,"mmm-yyyy"))</f>
        <v/>
      </c>
    </row>
    <row r="397">
      <c r="D397">
        <f>IFERROR(XLOOKUP(C397,'Vendor Master'!$A$6:$A$15,'Vendor Master'!$B$6:$B$15,""),"")</f>
        <v/>
      </c>
      <c r="J397">
        <f>IF(A397="","",TEXT(A397,"mmm-yyyy"))</f>
        <v/>
      </c>
    </row>
    <row r="398">
      <c r="D398">
        <f>IFERROR(XLOOKUP(C398,'Vendor Master'!$A$6:$A$15,'Vendor Master'!$B$6:$B$15,""),"")</f>
        <v/>
      </c>
      <c r="J398">
        <f>IF(A398="","",TEXT(A398,"mmm-yyyy"))</f>
        <v/>
      </c>
    </row>
    <row r="399">
      <c r="D399">
        <f>IFERROR(XLOOKUP(C399,'Vendor Master'!$A$6:$A$15,'Vendor Master'!$B$6:$B$15,""),"")</f>
        <v/>
      </c>
      <c r="J399">
        <f>IF(A399="","",TEXT(A399,"mmm-yyyy"))</f>
        <v/>
      </c>
    </row>
    <row r="400">
      <c r="D400">
        <f>IFERROR(XLOOKUP(C400,'Vendor Master'!$A$6:$A$15,'Vendor Master'!$B$6:$B$15,""),"")</f>
        <v/>
      </c>
      <c r="J400">
        <f>IF(A400="","",TEXT(A400,"mmm-yyyy"))</f>
        <v/>
      </c>
    </row>
    <row r="401">
      <c r="D401">
        <f>IFERROR(XLOOKUP(C401,'Vendor Master'!$A$6:$A$15,'Vendor Master'!$B$6:$B$15,""),"")</f>
        <v/>
      </c>
      <c r="J401">
        <f>IF(A401="","",TEXT(A401,"mmm-yyyy"))</f>
        <v/>
      </c>
    </row>
    <row r="402">
      <c r="D402">
        <f>IFERROR(XLOOKUP(C402,'Vendor Master'!$A$6:$A$15,'Vendor Master'!$B$6:$B$15,""),"")</f>
        <v/>
      </c>
      <c r="J402">
        <f>IF(A402="","",TEXT(A402,"mmm-yyyy"))</f>
        <v/>
      </c>
    </row>
    <row r="403">
      <c r="D403">
        <f>IFERROR(XLOOKUP(C403,'Vendor Master'!$A$6:$A$15,'Vendor Master'!$B$6:$B$15,""),"")</f>
        <v/>
      </c>
      <c r="J403">
        <f>IF(A403="","",TEXT(A403,"mmm-yyyy"))</f>
        <v/>
      </c>
    </row>
    <row r="404">
      <c r="D404">
        <f>IFERROR(XLOOKUP(C404,'Vendor Master'!$A$6:$A$15,'Vendor Master'!$B$6:$B$15,""),"")</f>
        <v/>
      </c>
      <c r="J404">
        <f>IF(A404="","",TEXT(A404,"mmm-yyyy"))</f>
        <v/>
      </c>
    </row>
    <row r="405">
      <c r="D405">
        <f>IFERROR(XLOOKUP(C405,'Vendor Master'!$A$6:$A$15,'Vendor Master'!$B$6:$B$15,""),"")</f>
        <v/>
      </c>
      <c r="J405">
        <f>IF(A405="","",TEXT(A405,"mmm-yyyy"))</f>
        <v/>
      </c>
    </row>
    <row r="406">
      <c r="D406">
        <f>IFERROR(XLOOKUP(C406,'Vendor Master'!$A$6:$A$15,'Vendor Master'!$B$6:$B$15,""),"")</f>
        <v/>
      </c>
      <c r="J406">
        <f>IF(A406="","",TEXT(A406,"mmm-yyyy"))</f>
        <v/>
      </c>
    </row>
    <row r="407">
      <c r="D407">
        <f>IFERROR(XLOOKUP(C407,'Vendor Master'!$A$6:$A$15,'Vendor Master'!$B$6:$B$15,""),"")</f>
        <v/>
      </c>
      <c r="J407">
        <f>IF(A407="","",TEXT(A407,"mmm-yyyy"))</f>
        <v/>
      </c>
    </row>
    <row r="408">
      <c r="D408">
        <f>IFERROR(XLOOKUP(C408,'Vendor Master'!$A$6:$A$15,'Vendor Master'!$B$6:$B$15,""),"")</f>
        <v/>
      </c>
      <c r="J408">
        <f>IF(A408="","",TEXT(A408,"mmm-yyyy"))</f>
        <v/>
      </c>
    </row>
    <row r="409">
      <c r="D409">
        <f>IFERROR(XLOOKUP(C409,'Vendor Master'!$A$6:$A$15,'Vendor Master'!$B$6:$B$15,""),"")</f>
        <v/>
      </c>
      <c r="J409">
        <f>IF(A409="","",TEXT(A409,"mmm-yyyy"))</f>
        <v/>
      </c>
    </row>
    <row r="410">
      <c r="D410">
        <f>IFERROR(XLOOKUP(C410,'Vendor Master'!$A$6:$A$15,'Vendor Master'!$B$6:$B$15,""),"")</f>
        <v/>
      </c>
      <c r="J410">
        <f>IF(A410="","",TEXT(A410,"mmm-yyyy"))</f>
        <v/>
      </c>
    </row>
    <row r="411">
      <c r="D411">
        <f>IFERROR(XLOOKUP(C411,'Vendor Master'!$A$6:$A$15,'Vendor Master'!$B$6:$B$15,""),"")</f>
        <v/>
      </c>
      <c r="J411">
        <f>IF(A411="","",TEXT(A411,"mmm-yyyy"))</f>
        <v/>
      </c>
    </row>
    <row r="412">
      <c r="D412">
        <f>IFERROR(XLOOKUP(C412,'Vendor Master'!$A$6:$A$15,'Vendor Master'!$B$6:$B$15,""),"")</f>
        <v/>
      </c>
      <c r="J412">
        <f>IF(A412="","",TEXT(A412,"mmm-yyyy"))</f>
        <v/>
      </c>
    </row>
    <row r="413">
      <c r="D413">
        <f>IFERROR(XLOOKUP(C413,'Vendor Master'!$A$6:$A$15,'Vendor Master'!$B$6:$B$15,""),"")</f>
        <v/>
      </c>
      <c r="J413">
        <f>IF(A413="","",TEXT(A413,"mmm-yyyy"))</f>
        <v/>
      </c>
    </row>
    <row r="414">
      <c r="D414">
        <f>IFERROR(XLOOKUP(C414,'Vendor Master'!$A$6:$A$15,'Vendor Master'!$B$6:$B$15,""),"")</f>
        <v/>
      </c>
      <c r="J414">
        <f>IF(A414="","",TEXT(A414,"mmm-yyyy"))</f>
        <v/>
      </c>
    </row>
    <row r="415">
      <c r="D415">
        <f>IFERROR(XLOOKUP(C415,'Vendor Master'!$A$6:$A$15,'Vendor Master'!$B$6:$B$15,""),"")</f>
        <v/>
      </c>
      <c r="J415">
        <f>IF(A415="","",TEXT(A415,"mmm-yyyy"))</f>
        <v/>
      </c>
    </row>
    <row r="416">
      <c r="D416">
        <f>IFERROR(XLOOKUP(C416,'Vendor Master'!$A$6:$A$15,'Vendor Master'!$B$6:$B$15,""),"")</f>
        <v/>
      </c>
      <c r="J416">
        <f>IF(A416="","",TEXT(A416,"mmm-yyyy"))</f>
        <v/>
      </c>
    </row>
    <row r="417">
      <c r="D417">
        <f>IFERROR(XLOOKUP(C417,'Vendor Master'!$A$6:$A$15,'Vendor Master'!$B$6:$B$15,""),"")</f>
        <v/>
      </c>
      <c r="J417">
        <f>IF(A417="","",TEXT(A417,"mmm-yyyy"))</f>
        <v/>
      </c>
    </row>
    <row r="418">
      <c r="D418">
        <f>IFERROR(XLOOKUP(C418,'Vendor Master'!$A$6:$A$15,'Vendor Master'!$B$6:$B$15,""),"")</f>
        <v/>
      </c>
      <c r="J418">
        <f>IF(A418="","",TEXT(A418,"mmm-yyyy"))</f>
        <v/>
      </c>
    </row>
    <row r="419">
      <c r="D419">
        <f>IFERROR(XLOOKUP(C419,'Vendor Master'!$A$6:$A$15,'Vendor Master'!$B$6:$B$15,""),"")</f>
        <v/>
      </c>
      <c r="J419">
        <f>IF(A419="","",TEXT(A419,"mmm-yyyy"))</f>
        <v/>
      </c>
    </row>
    <row r="420">
      <c r="D420">
        <f>IFERROR(XLOOKUP(C420,'Vendor Master'!$A$6:$A$15,'Vendor Master'!$B$6:$B$15,""),"")</f>
        <v/>
      </c>
      <c r="J420">
        <f>IF(A420="","",TEXT(A420,"mmm-yyyy"))</f>
        <v/>
      </c>
    </row>
    <row r="421">
      <c r="D421">
        <f>IFERROR(XLOOKUP(C421,'Vendor Master'!$A$6:$A$15,'Vendor Master'!$B$6:$B$15,""),"")</f>
        <v/>
      </c>
      <c r="J421">
        <f>IF(A421="","",TEXT(A421,"mmm-yyyy"))</f>
        <v/>
      </c>
    </row>
    <row r="422">
      <c r="D422">
        <f>IFERROR(XLOOKUP(C422,'Vendor Master'!$A$6:$A$15,'Vendor Master'!$B$6:$B$15,""),"")</f>
        <v/>
      </c>
      <c r="J422">
        <f>IF(A422="","",TEXT(A422,"mmm-yyyy"))</f>
        <v/>
      </c>
    </row>
    <row r="423">
      <c r="D423">
        <f>IFERROR(XLOOKUP(C423,'Vendor Master'!$A$6:$A$15,'Vendor Master'!$B$6:$B$15,""),"")</f>
        <v/>
      </c>
      <c r="J423">
        <f>IF(A423="","",TEXT(A423,"mmm-yyyy"))</f>
        <v/>
      </c>
    </row>
    <row r="424">
      <c r="D424">
        <f>IFERROR(XLOOKUP(C424,'Vendor Master'!$A$6:$A$15,'Vendor Master'!$B$6:$B$15,""),"")</f>
        <v/>
      </c>
      <c r="J424">
        <f>IF(A424="","",TEXT(A424,"mmm-yyyy"))</f>
        <v/>
      </c>
    </row>
    <row r="425">
      <c r="D425">
        <f>IFERROR(XLOOKUP(C425,'Vendor Master'!$A$6:$A$15,'Vendor Master'!$B$6:$B$15,""),"")</f>
        <v/>
      </c>
      <c r="J425">
        <f>IF(A425="","",TEXT(A425,"mmm-yyyy"))</f>
        <v/>
      </c>
    </row>
    <row r="426">
      <c r="D426">
        <f>IFERROR(XLOOKUP(C426,'Vendor Master'!$A$6:$A$15,'Vendor Master'!$B$6:$B$15,""),"")</f>
        <v/>
      </c>
      <c r="J426">
        <f>IF(A426="","",TEXT(A426,"mmm-yyyy"))</f>
        <v/>
      </c>
    </row>
    <row r="427">
      <c r="D427">
        <f>IFERROR(XLOOKUP(C427,'Vendor Master'!$A$6:$A$15,'Vendor Master'!$B$6:$B$15,""),"")</f>
        <v/>
      </c>
      <c r="J427">
        <f>IF(A427="","",TEXT(A427,"mmm-yyyy"))</f>
        <v/>
      </c>
    </row>
    <row r="428">
      <c r="D428">
        <f>IFERROR(XLOOKUP(C428,'Vendor Master'!$A$6:$A$15,'Vendor Master'!$B$6:$B$15,""),"")</f>
        <v/>
      </c>
      <c r="J428">
        <f>IF(A428="","",TEXT(A428,"mmm-yyyy"))</f>
        <v/>
      </c>
    </row>
    <row r="429">
      <c r="D429">
        <f>IFERROR(XLOOKUP(C429,'Vendor Master'!$A$6:$A$15,'Vendor Master'!$B$6:$B$15,""),"")</f>
        <v/>
      </c>
      <c r="J429">
        <f>IF(A429="","",TEXT(A429,"mmm-yyyy"))</f>
        <v/>
      </c>
    </row>
    <row r="430">
      <c r="D430">
        <f>IFERROR(XLOOKUP(C430,'Vendor Master'!$A$6:$A$15,'Vendor Master'!$B$6:$B$15,""),"")</f>
        <v/>
      </c>
      <c r="J430">
        <f>IF(A430="","",TEXT(A430,"mmm-yyyy"))</f>
        <v/>
      </c>
    </row>
    <row r="431">
      <c r="D431">
        <f>IFERROR(XLOOKUP(C431,'Vendor Master'!$A$6:$A$15,'Vendor Master'!$B$6:$B$15,""),"")</f>
        <v/>
      </c>
      <c r="J431">
        <f>IF(A431="","",TEXT(A431,"mmm-yyyy"))</f>
        <v/>
      </c>
    </row>
    <row r="432">
      <c r="D432">
        <f>IFERROR(XLOOKUP(C432,'Vendor Master'!$A$6:$A$15,'Vendor Master'!$B$6:$B$15,""),"")</f>
        <v/>
      </c>
      <c r="J432">
        <f>IF(A432="","",TEXT(A432,"mmm-yyyy"))</f>
        <v/>
      </c>
    </row>
    <row r="433">
      <c r="D433">
        <f>IFERROR(XLOOKUP(C433,'Vendor Master'!$A$6:$A$15,'Vendor Master'!$B$6:$B$15,""),"")</f>
        <v/>
      </c>
      <c r="J433">
        <f>IF(A433="","",TEXT(A433,"mmm-yyyy"))</f>
        <v/>
      </c>
    </row>
    <row r="434">
      <c r="D434">
        <f>IFERROR(XLOOKUP(C434,'Vendor Master'!$A$6:$A$15,'Vendor Master'!$B$6:$B$15,""),"")</f>
        <v/>
      </c>
      <c r="J434">
        <f>IF(A434="","",TEXT(A434,"mmm-yyyy"))</f>
        <v/>
      </c>
    </row>
    <row r="435">
      <c r="D435">
        <f>IFERROR(XLOOKUP(C435,'Vendor Master'!$A$6:$A$15,'Vendor Master'!$B$6:$B$15,""),"")</f>
        <v/>
      </c>
      <c r="J435">
        <f>IF(A435="","",TEXT(A435,"mmm-yyyy"))</f>
        <v/>
      </c>
    </row>
    <row r="436">
      <c r="D436">
        <f>IFERROR(XLOOKUP(C436,'Vendor Master'!$A$6:$A$15,'Vendor Master'!$B$6:$B$15,""),"")</f>
        <v/>
      </c>
      <c r="J436">
        <f>IF(A436="","",TEXT(A436,"mmm-yyyy"))</f>
        <v/>
      </c>
    </row>
    <row r="437">
      <c r="D437">
        <f>IFERROR(XLOOKUP(C437,'Vendor Master'!$A$6:$A$15,'Vendor Master'!$B$6:$B$15,""),"")</f>
        <v/>
      </c>
      <c r="J437">
        <f>IF(A437="","",TEXT(A437,"mmm-yyyy"))</f>
        <v/>
      </c>
    </row>
    <row r="438">
      <c r="D438">
        <f>IFERROR(XLOOKUP(C438,'Vendor Master'!$A$6:$A$15,'Vendor Master'!$B$6:$B$15,""),"")</f>
        <v/>
      </c>
      <c r="J438">
        <f>IF(A438="","",TEXT(A438,"mmm-yyyy"))</f>
        <v/>
      </c>
    </row>
    <row r="439">
      <c r="D439">
        <f>IFERROR(XLOOKUP(C439,'Vendor Master'!$A$6:$A$15,'Vendor Master'!$B$6:$B$15,""),"")</f>
        <v/>
      </c>
      <c r="J439">
        <f>IF(A439="","",TEXT(A439,"mmm-yyyy"))</f>
        <v/>
      </c>
    </row>
    <row r="440">
      <c r="D440">
        <f>IFERROR(XLOOKUP(C440,'Vendor Master'!$A$6:$A$15,'Vendor Master'!$B$6:$B$15,""),"")</f>
        <v/>
      </c>
      <c r="J440">
        <f>IF(A440="","",TEXT(A440,"mmm-yyyy"))</f>
        <v/>
      </c>
    </row>
    <row r="441">
      <c r="D441">
        <f>IFERROR(XLOOKUP(C441,'Vendor Master'!$A$6:$A$15,'Vendor Master'!$B$6:$B$15,""),"")</f>
        <v/>
      </c>
      <c r="J441">
        <f>IF(A441="","",TEXT(A441,"mmm-yyyy"))</f>
        <v/>
      </c>
    </row>
    <row r="442">
      <c r="D442">
        <f>IFERROR(XLOOKUP(C442,'Vendor Master'!$A$6:$A$15,'Vendor Master'!$B$6:$B$15,""),"")</f>
        <v/>
      </c>
      <c r="J442">
        <f>IF(A442="","",TEXT(A442,"mmm-yyyy"))</f>
        <v/>
      </c>
    </row>
    <row r="443">
      <c r="D443">
        <f>IFERROR(XLOOKUP(C443,'Vendor Master'!$A$6:$A$15,'Vendor Master'!$B$6:$B$15,""),"")</f>
        <v/>
      </c>
      <c r="J443">
        <f>IF(A443="","",TEXT(A443,"mmm-yyyy"))</f>
        <v/>
      </c>
    </row>
    <row r="444">
      <c r="D444">
        <f>IFERROR(XLOOKUP(C444,'Vendor Master'!$A$6:$A$15,'Vendor Master'!$B$6:$B$15,""),"")</f>
        <v/>
      </c>
      <c r="J444">
        <f>IF(A444="","",TEXT(A444,"mmm-yyyy"))</f>
        <v/>
      </c>
    </row>
    <row r="445">
      <c r="D445">
        <f>IFERROR(XLOOKUP(C445,'Vendor Master'!$A$6:$A$15,'Vendor Master'!$B$6:$B$15,""),"")</f>
        <v/>
      </c>
      <c r="J445">
        <f>IF(A445="","",TEXT(A445,"mmm-yyyy"))</f>
        <v/>
      </c>
    </row>
    <row r="446">
      <c r="D446">
        <f>IFERROR(XLOOKUP(C446,'Vendor Master'!$A$6:$A$15,'Vendor Master'!$B$6:$B$15,""),"")</f>
        <v/>
      </c>
      <c r="J446">
        <f>IF(A446="","",TEXT(A446,"mmm-yyyy"))</f>
        <v/>
      </c>
    </row>
    <row r="447">
      <c r="D447">
        <f>IFERROR(XLOOKUP(C447,'Vendor Master'!$A$6:$A$15,'Vendor Master'!$B$6:$B$15,""),"")</f>
        <v/>
      </c>
      <c r="J447">
        <f>IF(A447="","",TEXT(A447,"mmm-yyyy"))</f>
        <v/>
      </c>
    </row>
    <row r="448">
      <c r="D448">
        <f>IFERROR(XLOOKUP(C448,'Vendor Master'!$A$6:$A$15,'Vendor Master'!$B$6:$B$15,""),"")</f>
        <v/>
      </c>
      <c r="J448">
        <f>IF(A448="","",TEXT(A448,"mmm-yyyy"))</f>
        <v/>
      </c>
    </row>
    <row r="449">
      <c r="D449">
        <f>IFERROR(XLOOKUP(C449,'Vendor Master'!$A$6:$A$15,'Vendor Master'!$B$6:$B$15,""),"")</f>
        <v/>
      </c>
      <c r="J449">
        <f>IF(A449="","",TEXT(A449,"mmm-yyyy"))</f>
        <v/>
      </c>
    </row>
    <row r="450">
      <c r="D450">
        <f>IFERROR(XLOOKUP(C450,'Vendor Master'!$A$6:$A$15,'Vendor Master'!$B$6:$B$15,""),"")</f>
        <v/>
      </c>
      <c r="J450">
        <f>IF(A450="","",TEXT(A450,"mmm-yyyy"))</f>
        <v/>
      </c>
    </row>
    <row r="451">
      <c r="D451">
        <f>IFERROR(XLOOKUP(C451,'Vendor Master'!$A$6:$A$15,'Vendor Master'!$B$6:$B$15,""),"")</f>
        <v/>
      </c>
      <c r="J451">
        <f>IF(A451="","",TEXT(A451,"mmm-yyyy"))</f>
        <v/>
      </c>
    </row>
    <row r="452">
      <c r="D452">
        <f>IFERROR(XLOOKUP(C452,'Vendor Master'!$A$6:$A$15,'Vendor Master'!$B$6:$B$15,""),"")</f>
        <v/>
      </c>
      <c r="J452">
        <f>IF(A452="","",TEXT(A452,"mmm-yyyy"))</f>
        <v/>
      </c>
    </row>
    <row r="453">
      <c r="D453">
        <f>IFERROR(XLOOKUP(C453,'Vendor Master'!$A$6:$A$15,'Vendor Master'!$B$6:$B$15,""),"")</f>
        <v/>
      </c>
      <c r="J453">
        <f>IF(A453="","",TEXT(A453,"mmm-yyyy"))</f>
        <v/>
      </c>
    </row>
    <row r="454">
      <c r="D454">
        <f>IFERROR(XLOOKUP(C454,'Vendor Master'!$A$6:$A$15,'Vendor Master'!$B$6:$B$15,""),"")</f>
        <v/>
      </c>
      <c r="J454">
        <f>IF(A454="","",TEXT(A454,"mmm-yyyy"))</f>
        <v/>
      </c>
    </row>
    <row r="455">
      <c r="D455">
        <f>IFERROR(XLOOKUP(C455,'Vendor Master'!$A$6:$A$15,'Vendor Master'!$B$6:$B$15,""),"")</f>
        <v/>
      </c>
      <c r="J455">
        <f>IF(A455="","",TEXT(A455,"mmm-yyyy"))</f>
        <v/>
      </c>
    </row>
    <row r="456">
      <c r="D456">
        <f>IFERROR(XLOOKUP(C456,'Vendor Master'!$A$6:$A$15,'Vendor Master'!$B$6:$B$15,""),"")</f>
        <v/>
      </c>
      <c r="J456">
        <f>IF(A456="","",TEXT(A456,"mmm-yyyy"))</f>
        <v/>
      </c>
    </row>
    <row r="457">
      <c r="D457">
        <f>IFERROR(XLOOKUP(C457,'Vendor Master'!$A$6:$A$15,'Vendor Master'!$B$6:$B$15,""),"")</f>
        <v/>
      </c>
      <c r="J457">
        <f>IF(A457="","",TEXT(A457,"mmm-yyyy"))</f>
        <v/>
      </c>
    </row>
    <row r="458">
      <c r="D458">
        <f>IFERROR(XLOOKUP(C458,'Vendor Master'!$A$6:$A$15,'Vendor Master'!$B$6:$B$15,""),"")</f>
        <v/>
      </c>
      <c r="J458">
        <f>IF(A458="","",TEXT(A458,"mmm-yyyy"))</f>
        <v/>
      </c>
    </row>
    <row r="459">
      <c r="D459">
        <f>IFERROR(XLOOKUP(C459,'Vendor Master'!$A$6:$A$15,'Vendor Master'!$B$6:$B$15,""),"")</f>
        <v/>
      </c>
      <c r="J459">
        <f>IF(A459="","",TEXT(A459,"mmm-yyyy"))</f>
        <v/>
      </c>
    </row>
    <row r="460">
      <c r="D460">
        <f>IFERROR(XLOOKUP(C460,'Vendor Master'!$A$6:$A$15,'Vendor Master'!$B$6:$B$15,""),"")</f>
        <v/>
      </c>
      <c r="J460">
        <f>IF(A460="","",TEXT(A460,"mmm-yyyy"))</f>
        <v/>
      </c>
    </row>
    <row r="461">
      <c r="D461">
        <f>IFERROR(XLOOKUP(C461,'Vendor Master'!$A$6:$A$15,'Vendor Master'!$B$6:$B$15,""),"")</f>
        <v/>
      </c>
      <c r="J461">
        <f>IF(A461="","",TEXT(A461,"mmm-yyyy"))</f>
        <v/>
      </c>
    </row>
    <row r="462">
      <c r="D462">
        <f>IFERROR(XLOOKUP(C462,'Vendor Master'!$A$6:$A$15,'Vendor Master'!$B$6:$B$15,""),"")</f>
        <v/>
      </c>
      <c r="J462">
        <f>IF(A462="","",TEXT(A462,"mmm-yyyy"))</f>
        <v/>
      </c>
    </row>
    <row r="463">
      <c r="D463">
        <f>IFERROR(XLOOKUP(C463,'Vendor Master'!$A$6:$A$15,'Vendor Master'!$B$6:$B$15,""),"")</f>
        <v/>
      </c>
      <c r="J463">
        <f>IF(A463="","",TEXT(A463,"mmm-yyyy"))</f>
        <v/>
      </c>
    </row>
    <row r="464">
      <c r="D464">
        <f>IFERROR(XLOOKUP(C464,'Vendor Master'!$A$6:$A$15,'Vendor Master'!$B$6:$B$15,""),"")</f>
        <v/>
      </c>
      <c r="J464">
        <f>IF(A464="","",TEXT(A464,"mmm-yyyy"))</f>
        <v/>
      </c>
    </row>
    <row r="465">
      <c r="D465">
        <f>IFERROR(XLOOKUP(C465,'Vendor Master'!$A$6:$A$15,'Vendor Master'!$B$6:$B$15,""),"")</f>
        <v/>
      </c>
      <c r="J465">
        <f>IF(A465="","",TEXT(A465,"mmm-yyyy"))</f>
        <v/>
      </c>
    </row>
    <row r="466">
      <c r="D466">
        <f>IFERROR(XLOOKUP(C466,'Vendor Master'!$A$6:$A$15,'Vendor Master'!$B$6:$B$15,""),"")</f>
        <v/>
      </c>
      <c r="J466">
        <f>IF(A466="","",TEXT(A466,"mmm-yyyy"))</f>
        <v/>
      </c>
    </row>
    <row r="467">
      <c r="D467">
        <f>IFERROR(XLOOKUP(C467,'Vendor Master'!$A$6:$A$15,'Vendor Master'!$B$6:$B$15,""),"")</f>
        <v/>
      </c>
      <c r="J467">
        <f>IF(A467="","",TEXT(A467,"mmm-yyyy"))</f>
        <v/>
      </c>
    </row>
    <row r="468">
      <c r="D468">
        <f>IFERROR(XLOOKUP(C468,'Vendor Master'!$A$6:$A$15,'Vendor Master'!$B$6:$B$15,""),"")</f>
        <v/>
      </c>
      <c r="J468">
        <f>IF(A468="","",TEXT(A468,"mmm-yyyy"))</f>
        <v/>
      </c>
    </row>
    <row r="469">
      <c r="D469">
        <f>IFERROR(XLOOKUP(C469,'Vendor Master'!$A$6:$A$15,'Vendor Master'!$B$6:$B$15,""),"")</f>
        <v/>
      </c>
      <c r="J469">
        <f>IF(A469="","",TEXT(A469,"mmm-yyyy"))</f>
        <v/>
      </c>
    </row>
    <row r="470">
      <c r="D470">
        <f>IFERROR(XLOOKUP(C470,'Vendor Master'!$A$6:$A$15,'Vendor Master'!$B$6:$B$15,""),"")</f>
        <v/>
      </c>
      <c r="J470">
        <f>IF(A470="","",TEXT(A470,"mmm-yyyy"))</f>
        <v/>
      </c>
    </row>
    <row r="471">
      <c r="D471">
        <f>IFERROR(XLOOKUP(C471,'Vendor Master'!$A$6:$A$15,'Vendor Master'!$B$6:$B$15,""),"")</f>
        <v/>
      </c>
      <c r="J471">
        <f>IF(A471="","",TEXT(A471,"mmm-yyyy"))</f>
        <v/>
      </c>
    </row>
    <row r="472">
      <c r="D472">
        <f>IFERROR(XLOOKUP(C472,'Vendor Master'!$A$6:$A$15,'Vendor Master'!$B$6:$B$15,""),"")</f>
        <v/>
      </c>
      <c r="J472">
        <f>IF(A472="","",TEXT(A472,"mmm-yyyy"))</f>
        <v/>
      </c>
    </row>
    <row r="473">
      <c r="D473">
        <f>IFERROR(XLOOKUP(C473,'Vendor Master'!$A$6:$A$15,'Vendor Master'!$B$6:$B$15,""),"")</f>
        <v/>
      </c>
      <c r="J473">
        <f>IF(A473="","",TEXT(A473,"mmm-yyyy"))</f>
        <v/>
      </c>
    </row>
    <row r="474">
      <c r="D474">
        <f>IFERROR(XLOOKUP(C474,'Vendor Master'!$A$6:$A$15,'Vendor Master'!$B$6:$B$15,""),"")</f>
        <v/>
      </c>
      <c r="J474">
        <f>IF(A474="","",TEXT(A474,"mmm-yyyy"))</f>
        <v/>
      </c>
    </row>
    <row r="475">
      <c r="D475">
        <f>IFERROR(XLOOKUP(C475,'Vendor Master'!$A$6:$A$15,'Vendor Master'!$B$6:$B$15,""),"")</f>
        <v/>
      </c>
      <c r="J475">
        <f>IF(A475="","",TEXT(A475,"mmm-yyyy"))</f>
        <v/>
      </c>
    </row>
    <row r="476">
      <c r="D476">
        <f>IFERROR(XLOOKUP(C476,'Vendor Master'!$A$6:$A$15,'Vendor Master'!$B$6:$B$15,""),"")</f>
        <v/>
      </c>
      <c r="J476">
        <f>IF(A476="","",TEXT(A476,"mmm-yyyy"))</f>
        <v/>
      </c>
    </row>
    <row r="477">
      <c r="D477">
        <f>IFERROR(XLOOKUP(C477,'Vendor Master'!$A$6:$A$15,'Vendor Master'!$B$6:$B$15,""),"")</f>
        <v/>
      </c>
      <c r="J477">
        <f>IF(A477="","",TEXT(A477,"mmm-yyyy"))</f>
        <v/>
      </c>
    </row>
    <row r="478">
      <c r="D478">
        <f>IFERROR(XLOOKUP(C478,'Vendor Master'!$A$6:$A$15,'Vendor Master'!$B$6:$B$15,""),"")</f>
        <v/>
      </c>
      <c r="J478">
        <f>IF(A478="","",TEXT(A478,"mmm-yyyy"))</f>
        <v/>
      </c>
    </row>
    <row r="479">
      <c r="D479">
        <f>IFERROR(XLOOKUP(C479,'Vendor Master'!$A$6:$A$15,'Vendor Master'!$B$6:$B$15,""),"")</f>
        <v/>
      </c>
      <c r="J479">
        <f>IF(A479="","",TEXT(A479,"mmm-yyyy"))</f>
        <v/>
      </c>
    </row>
    <row r="480">
      <c r="D480">
        <f>IFERROR(XLOOKUP(C480,'Vendor Master'!$A$6:$A$15,'Vendor Master'!$B$6:$B$15,""),"")</f>
        <v/>
      </c>
      <c r="J480">
        <f>IF(A480="","",TEXT(A480,"mmm-yyyy"))</f>
        <v/>
      </c>
    </row>
    <row r="481">
      <c r="D481">
        <f>IFERROR(XLOOKUP(C481,'Vendor Master'!$A$6:$A$15,'Vendor Master'!$B$6:$B$15,""),"")</f>
        <v/>
      </c>
      <c r="J481">
        <f>IF(A481="","",TEXT(A481,"mmm-yyyy"))</f>
        <v/>
      </c>
    </row>
    <row r="482">
      <c r="D482">
        <f>IFERROR(XLOOKUP(C482,'Vendor Master'!$A$6:$A$15,'Vendor Master'!$B$6:$B$15,""),"")</f>
        <v/>
      </c>
      <c r="J482">
        <f>IF(A482="","",TEXT(A482,"mmm-yyyy"))</f>
        <v/>
      </c>
    </row>
    <row r="483">
      <c r="D483">
        <f>IFERROR(XLOOKUP(C483,'Vendor Master'!$A$6:$A$15,'Vendor Master'!$B$6:$B$15,""),"")</f>
        <v/>
      </c>
      <c r="J483">
        <f>IF(A483="","",TEXT(A483,"mmm-yyyy"))</f>
        <v/>
      </c>
    </row>
    <row r="484">
      <c r="D484">
        <f>IFERROR(XLOOKUP(C484,'Vendor Master'!$A$6:$A$15,'Vendor Master'!$B$6:$B$15,""),"")</f>
        <v/>
      </c>
      <c r="J484">
        <f>IF(A484="","",TEXT(A484,"mmm-yyyy"))</f>
        <v/>
      </c>
    </row>
    <row r="485">
      <c r="D485">
        <f>IFERROR(XLOOKUP(C485,'Vendor Master'!$A$6:$A$15,'Vendor Master'!$B$6:$B$15,""),"")</f>
        <v/>
      </c>
      <c r="J485">
        <f>IF(A485="","",TEXT(A485,"mmm-yyyy"))</f>
        <v/>
      </c>
    </row>
    <row r="486">
      <c r="D486">
        <f>IFERROR(XLOOKUP(C486,'Vendor Master'!$A$6:$A$15,'Vendor Master'!$B$6:$B$15,""),"")</f>
        <v/>
      </c>
      <c r="J486">
        <f>IF(A486="","",TEXT(A486,"mmm-yyyy"))</f>
        <v/>
      </c>
    </row>
    <row r="487">
      <c r="D487">
        <f>IFERROR(XLOOKUP(C487,'Vendor Master'!$A$6:$A$15,'Vendor Master'!$B$6:$B$15,""),"")</f>
        <v/>
      </c>
      <c r="J487">
        <f>IF(A487="","",TEXT(A487,"mmm-yyyy"))</f>
        <v/>
      </c>
    </row>
    <row r="488">
      <c r="D488">
        <f>IFERROR(XLOOKUP(C488,'Vendor Master'!$A$6:$A$15,'Vendor Master'!$B$6:$B$15,""),"")</f>
        <v/>
      </c>
      <c r="J488">
        <f>IF(A488="","",TEXT(A488,"mmm-yyyy"))</f>
        <v/>
      </c>
    </row>
    <row r="489">
      <c r="D489">
        <f>IFERROR(XLOOKUP(C489,'Vendor Master'!$A$6:$A$15,'Vendor Master'!$B$6:$B$15,""),"")</f>
        <v/>
      </c>
      <c r="J489">
        <f>IF(A489="","",TEXT(A489,"mmm-yyyy"))</f>
        <v/>
      </c>
    </row>
    <row r="490">
      <c r="D490">
        <f>IFERROR(XLOOKUP(C490,'Vendor Master'!$A$6:$A$15,'Vendor Master'!$B$6:$B$15,""),"")</f>
        <v/>
      </c>
      <c r="J490">
        <f>IF(A490="","",TEXT(A490,"mmm-yyyy"))</f>
        <v/>
      </c>
    </row>
    <row r="491">
      <c r="D491">
        <f>IFERROR(XLOOKUP(C491,'Vendor Master'!$A$6:$A$15,'Vendor Master'!$B$6:$B$15,""),"")</f>
        <v/>
      </c>
      <c r="J491">
        <f>IF(A491="","",TEXT(A491,"mmm-yyyy"))</f>
        <v/>
      </c>
    </row>
    <row r="492">
      <c r="D492">
        <f>IFERROR(XLOOKUP(C492,'Vendor Master'!$A$6:$A$15,'Vendor Master'!$B$6:$B$15,""),"")</f>
        <v/>
      </c>
      <c r="J492">
        <f>IF(A492="","",TEXT(A492,"mmm-yyyy"))</f>
        <v/>
      </c>
    </row>
    <row r="493">
      <c r="D493">
        <f>IFERROR(XLOOKUP(C493,'Vendor Master'!$A$6:$A$15,'Vendor Master'!$B$6:$B$15,""),"")</f>
        <v/>
      </c>
      <c r="J493">
        <f>IF(A493="","",TEXT(A493,"mmm-yyyy"))</f>
        <v/>
      </c>
    </row>
    <row r="494">
      <c r="D494">
        <f>IFERROR(XLOOKUP(C494,'Vendor Master'!$A$6:$A$15,'Vendor Master'!$B$6:$B$15,""),"")</f>
        <v/>
      </c>
      <c r="J494">
        <f>IF(A494="","",TEXT(A494,"mmm-yyyy"))</f>
        <v/>
      </c>
    </row>
    <row r="495">
      <c r="D495">
        <f>IFERROR(XLOOKUP(C495,'Vendor Master'!$A$6:$A$15,'Vendor Master'!$B$6:$B$15,""),"")</f>
        <v/>
      </c>
      <c r="J495">
        <f>IF(A495="","",TEXT(A495,"mmm-yyyy"))</f>
        <v/>
      </c>
    </row>
    <row r="496">
      <c r="D496">
        <f>IFERROR(XLOOKUP(C496,'Vendor Master'!$A$6:$A$15,'Vendor Master'!$B$6:$B$15,""),"")</f>
        <v/>
      </c>
      <c r="J496">
        <f>IF(A496="","",TEXT(A496,"mmm-yyyy"))</f>
        <v/>
      </c>
    </row>
    <row r="497">
      <c r="D497">
        <f>IFERROR(XLOOKUP(C497,'Vendor Master'!$A$6:$A$15,'Vendor Master'!$B$6:$B$15,""),"")</f>
        <v/>
      </c>
      <c r="J497">
        <f>IF(A497="","",TEXT(A497,"mmm-yyyy"))</f>
        <v/>
      </c>
    </row>
    <row r="498">
      <c r="D498">
        <f>IFERROR(XLOOKUP(C498,'Vendor Master'!$A$6:$A$15,'Vendor Master'!$B$6:$B$15,""),"")</f>
        <v/>
      </c>
      <c r="J498">
        <f>IF(A498="","",TEXT(A498,"mmm-yyyy"))</f>
        <v/>
      </c>
    </row>
    <row r="499">
      <c r="D499">
        <f>IFERROR(XLOOKUP(C499,'Vendor Master'!$A$6:$A$15,'Vendor Master'!$B$6:$B$15,""),"")</f>
        <v/>
      </c>
      <c r="J499">
        <f>IF(A499="","",TEXT(A499,"mmm-yyyy"))</f>
        <v/>
      </c>
    </row>
    <row r="500">
      <c r="D500">
        <f>IFERROR(XLOOKUP(C500,'Vendor Master'!$A$6:$A$15,'Vendor Master'!$B$6:$B$15,""),"")</f>
        <v/>
      </c>
      <c r="J500">
        <f>IF(A500="","",TEXT(A500,"mmm-yyyy"))</f>
        <v/>
      </c>
    </row>
    <row r="501">
      <c r="D501">
        <f>IFERROR(XLOOKUP(C501,'Vendor Master'!$A$6:$A$15,'Vendor Master'!$B$6:$B$15,""),"")</f>
        <v/>
      </c>
      <c r="J501">
        <f>IF(A501="","",TEXT(A501,"mmm-yyyy"))</f>
        <v/>
      </c>
    </row>
    <row r="502">
      <c r="D502">
        <f>IFERROR(XLOOKUP(C502,'Vendor Master'!$A$6:$A$15,'Vendor Master'!$B$6:$B$15,""),"")</f>
        <v/>
      </c>
      <c r="J502">
        <f>IF(A502="","",TEXT(A502,"mmm-yyyy"))</f>
        <v/>
      </c>
    </row>
    <row r="503">
      <c r="D503">
        <f>IFERROR(XLOOKUP(C503,'Vendor Master'!$A$6:$A$15,'Vendor Master'!$B$6:$B$15,""),"")</f>
        <v/>
      </c>
      <c r="J503">
        <f>IF(A503="","",TEXT(A503,"mmm-yyyy"))</f>
        <v/>
      </c>
    </row>
    <row r="504">
      <c r="D504">
        <f>IFERROR(XLOOKUP(C504,'Vendor Master'!$A$6:$A$15,'Vendor Master'!$B$6:$B$15,""),"")</f>
        <v/>
      </c>
      <c r="J504">
        <f>IF(A504="","",TEXT(A504,"mmm-yyyy"))</f>
        <v/>
      </c>
    </row>
    <row r="505">
      <c r="D505">
        <f>IFERROR(XLOOKUP(C505,'Vendor Master'!$A$6:$A$15,'Vendor Master'!$B$6:$B$15,""),"")</f>
        <v/>
      </c>
      <c r="J505">
        <f>IF(A505="","",TEXT(A505,"mmm-yyyy"))</f>
        <v/>
      </c>
    </row>
    <row r="506">
      <c r="D506">
        <f>IFERROR(XLOOKUP(C506,'Vendor Master'!$A$6:$A$15,'Vendor Master'!$B$6:$B$15,""),"")</f>
        <v/>
      </c>
      <c r="J506">
        <f>IF(A506="","",TEXT(A506,"mmm-yyyy"))</f>
        <v/>
      </c>
    </row>
    <row r="507">
      <c r="D507">
        <f>IFERROR(XLOOKUP(C507,'Vendor Master'!$A$6:$A$15,'Vendor Master'!$B$6:$B$15,""),"")</f>
        <v/>
      </c>
      <c r="J507">
        <f>IF(A507="","",TEXT(A507,"mmm-yyyy"))</f>
        <v/>
      </c>
    </row>
    <row r="508">
      <c r="D508">
        <f>IFERROR(XLOOKUP(C508,'Vendor Master'!$A$6:$A$15,'Vendor Master'!$B$6:$B$15,""),"")</f>
        <v/>
      </c>
      <c r="J508">
        <f>IF(A508="","",TEXT(A508,"mmm-yyyy"))</f>
        <v/>
      </c>
    </row>
    <row r="509">
      <c r="D509">
        <f>IFERROR(XLOOKUP(C509,'Vendor Master'!$A$6:$A$15,'Vendor Master'!$B$6:$B$15,""),"")</f>
        <v/>
      </c>
      <c r="J509">
        <f>IF(A509="","",TEXT(A509,"mmm-yyyy"))</f>
        <v/>
      </c>
    </row>
    <row r="510">
      <c r="D510">
        <f>IFERROR(XLOOKUP(C510,'Vendor Master'!$A$6:$A$15,'Vendor Master'!$B$6:$B$15,""),"")</f>
        <v/>
      </c>
      <c r="J510">
        <f>IF(A510="","",TEXT(A510,"mmm-yyyy"))</f>
        <v/>
      </c>
    </row>
    <row r="511">
      <c r="D511">
        <f>IFERROR(XLOOKUP(C511,'Vendor Master'!$A$6:$A$15,'Vendor Master'!$B$6:$B$15,""),"")</f>
        <v/>
      </c>
      <c r="J511">
        <f>IF(A511="","",TEXT(A511,"mmm-yyyy"))</f>
        <v/>
      </c>
    </row>
    <row r="512">
      <c r="D512">
        <f>IFERROR(XLOOKUP(C512,'Vendor Master'!$A$6:$A$15,'Vendor Master'!$B$6:$B$15,""),"")</f>
        <v/>
      </c>
      <c r="J512">
        <f>IF(A512="","",TEXT(A512,"mmm-yyyy"))</f>
        <v/>
      </c>
    </row>
    <row r="513">
      <c r="D513">
        <f>IFERROR(XLOOKUP(C513,'Vendor Master'!$A$6:$A$15,'Vendor Master'!$B$6:$B$15,""),"")</f>
        <v/>
      </c>
      <c r="J513">
        <f>IF(A513="","",TEXT(A513,"mmm-yyyy"))</f>
        <v/>
      </c>
    </row>
    <row r="514">
      <c r="D514">
        <f>IFERROR(XLOOKUP(C514,'Vendor Master'!$A$6:$A$15,'Vendor Master'!$B$6:$B$15,""),"")</f>
        <v/>
      </c>
      <c r="J514">
        <f>IF(A514="","",TEXT(A514,"mmm-yyyy"))</f>
        <v/>
      </c>
    </row>
    <row r="515">
      <c r="D515">
        <f>IFERROR(XLOOKUP(C515,'Vendor Master'!$A$6:$A$15,'Vendor Master'!$B$6:$B$15,""),"")</f>
        <v/>
      </c>
      <c r="J515">
        <f>IF(A515="","",TEXT(A515,"mmm-yyyy"))</f>
        <v/>
      </c>
    </row>
    <row r="516">
      <c r="D516">
        <f>IFERROR(XLOOKUP(C516,'Vendor Master'!$A$6:$A$15,'Vendor Master'!$B$6:$B$15,""),"")</f>
        <v/>
      </c>
      <c r="J516">
        <f>IF(A516="","",TEXT(A516,"mmm-yyyy"))</f>
        <v/>
      </c>
    </row>
    <row r="517">
      <c r="D517">
        <f>IFERROR(XLOOKUP(C517,'Vendor Master'!$A$6:$A$15,'Vendor Master'!$B$6:$B$15,""),"")</f>
        <v/>
      </c>
      <c r="J517">
        <f>IF(A517="","",TEXT(A517,"mmm-yyyy"))</f>
        <v/>
      </c>
    </row>
    <row r="518">
      <c r="D518">
        <f>IFERROR(XLOOKUP(C518,'Vendor Master'!$A$6:$A$15,'Vendor Master'!$B$6:$B$15,""),"")</f>
        <v/>
      </c>
      <c r="J518">
        <f>IF(A518="","",TEXT(A518,"mmm-yyyy"))</f>
        <v/>
      </c>
    </row>
    <row r="519">
      <c r="D519">
        <f>IFERROR(XLOOKUP(C519,'Vendor Master'!$A$6:$A$15,'Vendor Master'!$B$6:$B$15,""),"")</f>
        <v/>
      </c>
      <c r="J519">
        <f>IF(A519="","",TEXT(A519,"mmm-yyyy"))</f>
        <v/>
      </c>
    </row>
    <row r="520">
      <c r="D520">
        <f>IFERROR(XLOOKUP(C520,'Vendor Master'!$A$6:$A$15,'Vendor Master'!$B$6:$B$15,""),"")</f>
        <v/>
      </c>
      <c r="J520">
        <f>IF(A520="","",TEXT(A520,"mmm-yyyy"))</f>
        <v/>
      </c>
    </row>
    <row r="521">
      <c r="D521">
        <f>IFERROR(XLOOKUP(C521,'Vendor Master'!$A$6:$A$15,'Vendor Master'!$B$6:$B$15,""),"")</f>
        <v/>
      </c>
      <c r="J521">
        <f>IF(A521="","",TEXT(A521,"mmm-yyyy"))</f>
        <v/>
      </c>
    </row>
    <row r="522">
      <c r="D522">
        <f>IFERROR(XLOOKUP(C522,'Vendor Master'!$A$6:$A$15,'Vendor Master'!$B$6:$B$15,""),"")</f>
        <v/>
      </c>
      <c r="J522">
        <f>IF(A522="","",TEXT(A522,"mmm-yyyy"))</f>
        <v/>
      </c>
    </row>
    <row r="523">
      <c r="D523">
        <f>IFERROR(XLOOKUP(C523,'Vendor Master'!$A$6:$A$15,'Vendor Master'!$B$6:$B$15,""),"")</f>
        <v/>
      </c>
      <c r="J523">
        <f>IF(A523="","",TEXT(A523,"mmm-yyyy"))</f>
        <v/>
      </c>
    </row>
    <row r="524">
      <c r="D524">
        <f>IFERROR(XLOOKUP(C524,'Vendor Master'!$A$6:$A$15,'Vendor Master'!$B$6:$B$15,""),"")</f>
        <v/>
      </c>
      <c r="J524">
        <f>IF(A524="","",TEXT(A524,"mmm-yyyy"))</f>
        <v/>
      </c>
    </row>
    <row r="525">
      <c r="D525">
        <f>IFERROR(XLOOKUP(C525,'Vendor Master'!$A$6:$A$15,'Vendor Master'!$B$6:$B$15,""),"")</f>
        <v/>
      </c>
      <c r="J525">
        <f>IF(A525="","",TEXT(A525,"mmm-yyyy"))</f>
        <v/>
      </c>
    </row>
    <row r="526">
      <c r="D526">
        <f>IFERROR(XLOOKUP(C526,'Vendor Master'!$A$6:$A$15,'Vendor Master'!$B$6:$B$15,""),"")</f>
        <v/>
      </c>
      <c r="J526">
        <f>IF(A526="","",TEXT(A526,"mmm-yyyy"))</f>
        <v/>
      </c>
    </row>
    <row r="527">
      <c r="D527">
        <f>IFERROR(XLOOKUP(C527,'Vendor Master'!$A$6:$A$15,'Vendor Master'!$B$6:$B$15,""),"")</f>
        <v/>
      </c>
      <c r="J527">
        <f>IF(A527="","",TEXT(A527,"mmm-yyyy"))</f>
        <v/>
      </c>
    </row>
    <row r="528">
      <c r="D528">
        <f>IFERROR(XLOOKUP(C528,'Vendor Master'!$A$6:$A$15,'Vendor Master'!$B$6:$B$15,""),"")</f>
        <v/>
      </c>
      <c r="J528">
        <f>IF(A528="","",TEXT(A528,"mmm-yyyy"))</f>
        <v/>
      </c>
    </row>
    <row r="529">
      <c r="D529">
        <f>IFERROR(XLOOKUP(C529,'Vendor Master'!$A$6:$A$15,'Vendor Master'!$B$6:$B$15,""),"")</f>
        <v/>
      </c>
      <c r="J529">
        <f>IF(A529="","",TEXT(A529,"mmm-yyyy"))</f>
        <v/>
      </c>
    </row>
    <row r="530">
      <c r="D530">
        <f>IFERROR(XLOOKUP(C530,'Vendor Master'!$A$6:$A$15,'Vendor Master'!$B$6:$B$15,""),"")</f>
        <v/>
      </c>
      <c r="J530">
        <f>IF(A530="","",TEXT(A530,"mmm-yyyy"))</f>
        <v/>
      </c>
    </row>
    <row r="531">
      <c r="D531">
        <f>IFERROR(XLOOKUP(C531,'Vendor Master'!$A$6:$A$15,'Vendor Master'!$B$6:$B$15,""),"")</f>
        <v/>
      </c>
      <c r="J531">
        <f>IF(A531="","",TEXT(A531,"mmm-yyyy"))</f>
        <v/>
      </c>
    </row>
    <row r="532">
      <c r="D532">
        <f>IFERROR(XLOOKUP(C532,'Vendor Master'!$A$6:$A$15,'Vendor Master'!$B$6:$B$15,""),"")</f>
        <v/>
      </c>
      <c r="J532">
        <f>IF(A532="","",TEXT(A532,"mmm-yyyy"))</f>
        <v/>
      </c>
    </row>
    <row r="533">
      <c r="D533">
        <f>IFERROR(XLOOKUP(C533,'Vendor Master'!$A$6:$A$15,'Vendor Master'!$B$6:$B$15,""),"")</f>
        <v/>
      </c>
      <c r="J533">
        <f>IF(A533="","",TEXT(A533,"mmm-yyyy"))</f>
        <v/>
      </c>
    </row>
    <row r="534">
      <c r="D534">
        <f>IFERROR(XLOOKUP(C534,'Vendor Master'!$A$6:$A$15,'Vendor Master'!$B$6:$B$15,""),"")</f>
        <v/>
      </c>
      <c r="J534">
        <f>IF(A534="","",TEXT(A534,"mmm-yyyy"))</f>
        <v/>
      </c>
    </row>
    <row r="535">
      <c r="D535">
        <f>IFERROR(XLOOKUP(C535,'Vendor Master'!$A$6:$A$15,'Vendor Master'!$B$6:$B$15,""),"")</f>
        <v/>
      </c>
      <c r="J535">
        <f>IF(A535="","",TEXT(A535,"mmm-yyyy"))</f>
        <v/>
      </c>
    </row>
    <row r="536">
      <c r="D536">
        <f>IFERROR(XLOOKUP(C536,'Vendor Master'!$A$6:$A$15,'Vendor Master'!$B$6:$B$15,""),"")</f>
        <v/>
      </c>
      <c r="J536">
        <f>IF(A536="","",TEXT(A536,"mmm-yyyy"))</f>
        <v/>
      </c>
    </row>
    <row r="537">
      <c r="D537">
        <f>IFERROR(XLOOKUP(C537,'Vendor Master'!$A$6:$A$15,'Vendor Master'!$B$6:$B$15,""),"")</f>
        <v/>
      </c>
      <c r="J537">
        <f>IF(A537="","",TEXT(A537,"mmm-yyyy"))</f>
        <v/>
      </c>
    </row>
    <row r="538">
      <c r="D538">
        <f>IFERROR(XLOOKUP(C538,'Vendor Master'!$A$6:$A$15,'Vendor Master'!$B$6:$B$15,""),"")</f>
        <v/>
      </c>
      <c r="J538">
        <f>IF(A538="","",TEXT(A538,"mmm-yyyy"))</f>
        <v/>
      </c>
    </row>
    <row r="539">
      <c r="D539">
        <f>IFERROR(XLOOKUP(C539,'Vendor Master'!$A$6:$A$15,'Vendor Master'!$B$6:$B$15,""),"")</f>
        <v/>
      </c>
      <c r="J539">
        <f>IF(A539="","",TEXT(A539,"mmm-yyyy"))</f>
        <v/>
      </c>
    </row>
    <row r="540">
      <c r="D540">
        <f>IFERROR(XLOOKUP(C540,'Vendor Master'!$A$6:$A$15,'Vendor Master'!$B$6:$B$15,""),"")</f>
        <v/>
      </c>
      <c r="J540">
        <f>IF(A540="","",TEXT(A540,"mmm-yyyy"))</f>
        <v/>
      </c>
    </row>
    <row r="541">
      <c r="D541">
        <f>IFERROR(XLOOKUP(C541,'Vendor Master'!$A$6:$A$15,'Vendor Master'!$B$6:$B$15,""),"")</f>
        <v/>
      </c>
      <c r="J541">
        <f>IF(A541="","",TEXT(A541,"mmm-yyyy"))</f>
        <v/>
      </c>
    </row>
    <row r="542">
      <c r="D542">
        <f>IFERROR(XLOOKUP(C542,'Vendor Master'!$A$6:$A$15,'Vendor Master'!$B$6:$B$15,""),"")</f>
        <v/>
      </c>
      <c r="J542">
        <f>IF(A542="","",TEXT(A542,"mmm-yyyy"))</f>
        <v/>
      </c>
    </row>
    <row r="543">
      <c r="D543">
        <f>IFERROR(XLOOKUP(C543,'Vendor Master'!$A$6:$A$15,'Vendor Master'!$B$6:$B$15,""),"")</f>
        <v/>
      </c>
      <c r="J543">
        <f>IF(A543="","",TEXT(A543,"mmm-yyyy"))</f>
        <v/>
      </c>
    </row>
    <row r="544">
      <c r="D544">
        <f>IFERROR(XLOOKUP(C544,'Vendor Master'!$A$6:$A$15,'Vendor Master'!$B$6:$B$15,""),"")</f>
        <v/>
      </c>
      <c r="J544">
        <f>IF(A544="","",TEXT(A544,"mmm-yyyy"))</f>
        <v/>
      </c>
    </row>
    <row r="545">
      <c r="D545">
        <f>IFERROR(XLOOKUP(C545,'Vendor Master'!$A$6:$A$15,'Vendor Master'!$B$6:$B$15,""),"")</f>
        <v/>
      </c>
      <c r="J545">
        <f>IF(A545="","",TEXT(A545,"mmm-yyyy"))</f>
        <v/>
      </c>
    </row>
    <row r="546">
      <c r="D546">
        <f>IFERROR(XLOOKUP(C546,'Vendor Master'!$A$6:$A$15,'Vendor Master'!$B$6:$B$15,""),"")</f>
        <v/>
      </c>
      <c r="J546">
        <f>IF(A546="","",TEXT(A546,"mmm-yyyy"))</f>
        <v/>
      </c>
    </row>
    <row r="547">
      <c r="D547">
        <f>IFERROR(XLOOKUP(C547,'Vendor Master'!$A$6:$A$15,'Vendor Master'!$B$6:$B$15,""),"")</f>
        <v/>
      </c>
      <c r="J547">
        <f>IF(A547="","",TEXT(A547,"mmm-yyyy"))</f>
        <v/>
      </c>
    </row>
    <row r="548">
      <c r="D548">
        <f>IFERROR(XLOOKUP(C548,'Vendor Master'!$A$6:$A$15,'Vendor Master'!$B$6:$B$15,""),"")</f>
        <v/>
      </c>
      <c r="J548">
        <f>IF(A548="","",TEXT(A548,"mmm-yyyy"))</f>
        <v/>
      </c>
    </row>
    <row r="549">
      <c r="D549">
        <f>IFERROR(XLOOKUP(C549,'Vendor Master'!$A$6:$A$15,'Vendor Master'!$B$6:$B$15,""),"")</f>
        <v/>
      </c>
      <c r="J549">
        <f>IF(A549="","",TEXT(A549,"mmm-yyyy"))</f>
        <v/>
      </c>
    </row>
    <row r="550">
      <c r="D550">
        <f>IFERROR(XLOOKUP(C550,'Vendor Master'!$A$6:$A$15,'Vendor Master'!$B$6:$B$15,""),"")</f>
        <v/>
      </c>
      <c r="J550">
        <f>IF(A550="","",TEXT(A550,"mmm-yyyy"))</f>
        <v/>
      </c>
    </row>
    <row r="551">
      <c r="D551">
        <f>IFERROR(XLOOKUP(C551,'Vendor Master'!$A$6:$A$15,'Vendor Master'!$B$6:$B$15,""),"")</f>
        <v/>
      </c>
      <c r="J551">
        <f>IF(A551="","",TEXT(A551,"mmm-yyyy"))</f>
        <v/>
      </c>
    </row>
    <row r="552">
      <c r="D552">
        <f>IFERROR(XLOOKUP(C552,'Vendor Master'!$A$6:$A$15,'Vendor Master'!$B$6:$B$15,""),"")</f>
        <v/>
      </c>
      <c r="J552">
        <f>IF(A552="","",TEXT(A552,"mmm-yyyy"))</f>
        <v/>
      </c>
    </row>
    <row r="553">
      <c r="D553">
        <f>IFERROR(XLOOKUP(C553,'Vendor Master'!$A$6:$A$15,'Vendor Master'!$B$6:$B$15,""),"")</f>
        <v/>
      </c>
      <c r="J553">
        <f>IF(A553="","",TEXT(A553,"mmm-yyyy"))</f>
        <v/>
      </c>
    </row>
    <row r="554">
      <c r="D554">
        <f>IFERROR(XLOOKUP(C554,'Vendor Master'!$A$6:$A$15,'Vendor Master'!$B$6:$B$15,""),"")</f>
        <v/>
      </c>
      <c r="J554">
        <f>IF(A554="","",TEXT(A554,"mmm-yyyy"))</f>
        <v/>
      </c>
    </row>
    <row r="555">
      <c r="D555">
        <f>IFERROR(XLOOKUP(C555,'Vendor Master'!$A$6:$A$15,'Vendor Master'!$B$6:$B$15,""),"")</f>
        <v/>
      </c>
      <c r="J555">
        <f>IF(A555="","",TEXT(A555,"mmm-yyyy"))</f>
        <v/>
      </c>
    </row>
    <row r="556">
      <c r="D556">
        <f>IFERROR(XLOOKUP(C556,'Vendor Master'!$A$6:$A$15,'Vendor Master'!$B$6:$B$15,""),"")</f>
        <v/>
      </c>
      <c r="J556">
        <f>IF(A556="","",TEXT(A556,"mmm-yyyy"))</f>
        <v/>
      </c>
    </row>
    <row r="557">
      <c r="D557">
        <f>IFERROR(XLOOKUP(C557,'Vendor Master'!$A$6:$A$15,'Vendor Master'!$B$6:$B$15,""),"")</f>
        <v/>
      </c>
      <c r="J557">
        <f>IF(A557="","",TEXT(A557,"mmm-yyyy"))</f>
        <v/>
      </c>
    </row>
    <row r="558">
      <c r="D558">
        <f>IFERROR(XLOOKUP(C558,'Vendor Master'!$A$6:$A$15,'Vendor Master'!$B$6:$B$15,""),"")</f>
        <v/>
      </c>
      <c r="J558">
        <f>IF(A558="","",TEXT(A558,"mmm-yyyy"))</f>
        <v/>
      </c>
    </row>
    <row r="559">
      <c r="D559">
        <f>IFERROR(XLOOKUP(C559,'Vendor Master'!$A$6:$A$15,'Vendor Master'!$B$6:$B$15,""),"")</f>
        <v/>
      </c>
      <c r="J559">
        <f>IF(A559="","",TEXT(A559,"mmm-yyyy"))</f>
        <v/>
      </c>
    </row>
    <row r="560">
      <c r="D560">
        <f>IFERROR(XLOOKUP(C560,'Vendor Master'!$A$6:$A$15,'Vendor Master'!$B$6:$B$15,""),"")</f>
        <v/>
      </c>
      <c r="J560">
        <f>IF(A560="","",TEXT(A560,"mmm-yyyy"))</f>
        <v/>
      </c>
    </row>
    <row r="561">
      <c r="D561">
        <f>IFERROR(XLOOKUP(C561,'Vendor Master'!$A$6:$A$15,'Vendor Master'!$B$6:$B$15,""),"")</f>
        <v/>
      </c>
      <c r="J561">
        <f>IF(A561="","",TEXT(A561,"mmm-yyyy"))</f>
        <v/>
      </c>
    </row>
    <row r="562">
      <c r="D562">
        <f>IFERROR(XLOOKUP(C562,'Vendor Master'!$A$6:$A$15,'Vendor Master'!$B$6:$B$15,""),"")</f>
        <v/>
      </c>
      <c r="J562">
        <f>IF(A562="","",TEXT(A562,"mmm-yyyy"))</f>
        <v/>
      </c>
    </row>
    <row r="563">
      <c r="D563">
        <f>IFERROR(XLOOKUP(C563,'Vendor Master'!$A$6:$A$15,'Vendor Master'!$B$6:$B$15,""),"")</f>
        <v/>
      </c>
      <c r="J563">
        <f>IF(A563="","",TEXT(A563,"mmm-yyyy"))</f>
        <v/>
      </c>
    </row>
    <row r="564">
      <c r="D564">
        <f>IFERROR(XLOOKUP(C564,'Vendor Master'!$A$6:$A$15,'Vendor Master'!$B$6:$B$15,""),"")</f>
        <v/>
      </c>
      <c r="J564">
        <f>IF(A564="","",TEXT(A564,"mmm-yyyy"))</f>
        <v/>
      </c>
    </row>
    <row r="565">
      <c r="D565">
        <f>IFERROR(XLOOKUP(C565,'Vendor Master'!$A$6:$A$15,'Vendor Master'!$B$6:$B$15,""),"")</f>
        <v/>
      </c>
      <c r="J565">
        <f>IF(A565="","",TEXT(A565,"mmm-yyyy"))</f>
        <v/>
      </c>
    </row>
    <row r="566">
      <c r="D566">
        <f>IFERROR(XLOOKUP(C566,'Vendor Master'!$A$6:$A$15,'Vendor Master'!$B$6:$B$15,""),"")</f>
        <v/>
      </c>
      <c r="J566">
        <f>IF(A566="","",TEXT(A566,"mmm-yyyy"))</f>
        <v/>
      </c>
    </row>
    <row r="567">
      <c r="D567">
        <f>IFERROR(XLOOKUP(C567,'Vendor Master'!$A$6:$A$15,'Vendor Master'!$B$6:$B$15,""),"")</f>
        <v/>
      </c>
      <c r="J567">
        <f>IF(A567="","",TEXT(A567,"mmm-yyyy"))</f>
        <v/>
      </c>
    </row>
    <row r="568">
      <c r="D568">
        <f>IFERROR(XLOOKUP(C568,'Vendor Master'!$A$6:$A$15,'Vendor Master'!$B$6:$B$15,""),"")</f>
        <v/>
      </c>
      <c r="J568">
        <f>IF(A568="","",TEXT(A568,"mmm-yyyy"))</f>
        <v/>
      </c>
    </row>
    <row r="569">
      <c r="D569">
        <f>IFERROR(XLOOKUP(C569,'Vendor Master'!$A$6:$A$15,'Vendor Master'!$B$6:$B$15,""),"")</f>
        <v/>
      </c>
      <c r="J569">
        <f>IF(A569="","",TEXT(A569,"mmm-yyyy"))</f>
        <v/>
      </c>
    </row>
    <row r="570">
      <c r="D570">
        <f>IFERROR(XLOOKUP(C570,'Vendor Master'!$A$6:$A$15,'Vendor Master'!$B$6:$B$15,""),"")</f>
        <v/>
      </c>
      <c r="J570">
        <f>IF(A570="","",TEXT(A570,"mmm-yyyy"))</f>
        <v/>
      </c>
    </row>
    <row r="571">
      <c r="D571">
        <f>IFERROR(XLOOKUP(C571,'Vendor Master'!$A$6:$A$15,'Vendor Master'!$B$6:$B$15,""),"")</f>
        <v/>
      </c>
      <c r="J571">
        <f>IF(A571="","",TEXT(A571,"mmm-yyyy"))</f>
        <v/>
      </c>
    </row>
    <row r="572">
      <c r="D572">
        <f>IFERROR(XLOOKUP(C572,'Vendor Master'!$A$6:$A$15,'Vendor Master'!$B$6:$B$15,""),"")</f>
        <v/>
      </c>
      <c r="J572">
        <f>IF(A572="","",TEXT(A572,"mmm-yyyy"))</f>
        <v/>
      </c>
    </row>
    <row r="573">
      <c r="D573">
        <f>IFERROR(XLOOKUP(C573,'Vendor Master'!$A$6:$A$15,'Vendor Master'!$B$6:$B$15,""),"")</f>
        <v/>
      </c>
      <c r="J573">
        <f>IF(A573="","",TEXT(A573,"mmm-yyyy"))</f>
        <v/>
      </c>
    </row>
    <row r="574">
      <c r="D574">
        <f>IFERROR(XLOOKUP(C574,'Vendor Master'!$A$6:$A$15,'Vendor Master'!$B$6:$B$15,""),"")</f>
        <v/>
      </c>
      <c r="J574">
        <f>IF(A574="","",TEXT(A574,"mmm-yyyy"))</f>
        <v/>
      </c>
    </row>
    <row r="575">
      <c r="D575">
        <f>IFERROR(XLOOKUP(C575,'Vendor Master'!$A$6:$A$15,'Vendor Master'!$B$6:$B$15,""),"")</f>
        <v/>
      </c>
      <c r="J575">
        <f>IF(A575="","",TEXT(A575,"mmm-yyyy"))</f>
        <v/>
      </c>
    </row>
    <row r="576">
      <c r="D576">
        <f>IFERROR(XLOOKUP(C576,'Vendor Master'!$A$6:$A$15,'Vendor Master'!$B$6:$B$15,""),"")</f>
        <v/>
      </c>
      <c r="J576">
        <f>IF(A576="","",TEXT(A576,"mmm-yyyy"))</f>
        <v/>
      </c>
    </row>
    <row r="577">
      <c r="D577">
        <f>IFERROR(XLOOKUP(C577,'Vendor Master'!$A$6:$A$15,'Vendor Master'!$B$6:$B$15,""),"")</f>
        <v/>
      </c>
      <c r="J577">
        <f>IF(A577="","",TEXT(A577,"mmm-yyyy"))</f>
        <v/>
      </c>
    </row>
    <row r="578">
      <c r="D578">
        <f>IFERROR(XLOOKUP(C578,'Vendor Master'!$A$6:$A$15,'Vendor Master'!$B$6:$B$15,""),"")</f>
        <v/>
      </c>
      <c r="J578">
        <f>IF(A578="","",TEXT(A578,"mmm-yyyy"))</f>
        <v/>
      </c>
    </row>
    <row r="579">
      <c r="D579">
        <f>IFERROR(XLOOKUP(C579,'Vendor Master'!$A$6:$A$15,'Vendor Master'!$B$6:$B$15,""),"")</f>
        <v/>
      </c>
      <c r="J579">
        <f>IF(A579="","",TEXT(A579,"mmm-yyyy"))</f>
        <v/>
      </c>
    </row>
    <row r="580">
      <c r="D580">
        <f>IFERROR(XLOOKUP(C580,'Vendor Master'!$A$6:$A$15,'Vendor Master'!$B$6:$B$15,""),"")</f>
        <v/>
      </c>
      <c r="J580">
        <f>IF(A580="","",TEXT(A580,"mmm-yyyy"))</f>
        <v/>
      </c>
    </row>
    <row r="581">
      <c r="D581">
        <f>IFERROR(XLOOKUP(C581,'Vendor Master'!$A$6:$A$15,'Vendor Master'!$B$6:$B$15,""),"")</f>
        <v/>
      </c>
      <c r="J581">
        <f>IF(A581="","",TEXT(A581,"mmm-yyyy"))</f>
        <v/>
      </c>
    </row>
    <row r="582">
      <c r="D582">
        <f>IFERROR(XLOOKUP(C582,'Vendor Master'!$A$6:$A$15,'Vendor Master'!$B$6:$B$15,""),"")</f>
        <v/>
      </c>
      <c r="J582">
        <f>IF(A582="","",TEXT(A582,"mmm-yyyy"))</f>
        <v/>
      </c>
    </row>
    <row r="583">
      <c r="D583">
        <f>IFERROR(XLOOKUP(C583,'Vendor Master'!$A$6:$A$15,'Vendor Master'!$B$6:$B$15,""),"")</f>
        <v/>
      </c>
      <c r="J583">
        <f>IF(A583="","",TEXT(A583,"mmm-yyyy"))</f>
        <v/>
      </c>
    </row>
    <row r="584">
      <c r="D584">
        <f>IFERROR(XLOOKUP(C584,'Vendor Master'!$A$6:$A$15,'Vendor Master'!$B$6:$B$15,""),"")</f>
        <v/>
      </c>
      <c r="J584">
        <f>IF(A584="","",TEXT(A584,"mmm-yyyy"))</f>
        <v/>
      </c>
    </row>
    <row r="585">
      <c r="D585">
        <f>IFERROR(XLOOKUP(C585,'Vendor Master'!$A$6:$A$15,'Vendor Master'!$B$6:$B$15,""),"")</f>
        <v/>
      </c>
      <c r="J585">
        <f>IF(A585="","",TEXT(A585,"mmm-yyyy"))</f>
        <v/>
      </c>
    </row>
    <row r="586">
      <c r="D586">
        <f>IFERROR(XLOOKUP(C586,'Vendor Master'!$A$6:$A$15,'Vendor Master'!$B$6:$B$15,""),"")</f>
        <v/>
      </c>
      <c r="J586">
        <f>IF(A586="","",TEXT(A586,"mmm-yyyy"))</f>
        <v/>
      </c>
    </row>
    <row r="587">
      <c r="D587">
        <f>IFERROR(XLOOKUP(C587,'Vendor Master'!$A$6:$A$15,'Vendor Master'!$B$6:$B$15,""),"")</f>
        <v/>
      </c>
      <c r="J587">
        <f>IF(A587="","",TEXT(A587,"mmm-yyyy"))</f>
        <v/>
      </c>
    </row>
    <row r="588">
      <c r="D588">
        <f>IFERROR(XLOOKUP(C588,'Vendor Master'!$A$6:$A$15,'Vendor Master'!$B$6:$B$15,""),"")</f>
        <v/>
      </c>
      <c r="J588">
        <f>IF(A588="","",TEXT(A588,"mmm-yyyy"))</f>
        <v/>
      </c>
    </row>
    <row r="589">
      <c r="D589">
        <f>IFERROR(XLOOKUP(C589,'Vendor Master'!$A$6:$A$15,'Vendor Master'!$B$6:$B$15,""),"")</f>
        <v/>
      </c>
      <c r="J589">
        <f>IF(A589="","",TEXT(A589,"mmm-yyyy"))</f>
        <v/>
      </c>
    </row>
    <row r="590">
      <c r="D590">
        <f>IFERROR(XLOOKUP(C590,'Vendor Master'!$A$6:$A$15,'Vendor Master'!$B$6:$B$15,""),"")</f>
        <v/>
      </c>
      <c r="J590">
        <f>IF(A590="","",TEXT(A590,"mmm-yyyy"))</f>
        <v/>
      </c>
    </row>
    <row r="591">
      <c r="D591">
        <f>IFERROR(XLOOKUP(C591,'Vendor Master'!$A$6:$A$15,'Vendor Master'!$B$6:$B$15,""),"")</f>
        <v/>
      </c>
      <c r="J591">
        <f>IF(A591="","",TEXT(A591,"mmm-yyyy"))</f>
        <v/>
      </c>
    </row>
    <row r="592">
      <c r="D592">
        <f>IFERROR(XLOOKUP(C592,'Vendor Master'!$A$6:$A$15,'Vendor Master'!$B$6:$B$15,""),"")</f>
        <v/>
      </c>
      <c r="J592">
        <f>IF(A592="","",TEXT(A592,"mmm-yyyy"))</f>
        <v/>
      </c>
    </row>
    <row r="593">
      <c r="D593">
        <f>IFERROR(XLOOKUP(C593,'Vendor Master'!$A$6:$A$15,'Vendor Master'!$B$6:$B$15,""),"")</f>
        <v/>
      </c>
      <c r="J593">
        <f>IF(A593="","",TEXT(A593,"mmm-yyyy"))</f>
        <v/>
      </c>
    </row>
    <row r="594">
      <c r="D594">
        <f>IFERROR(XLOOKUP(C594,'Vendor Master'!$A$6:$A$15,'Vendor Master'!$B$6:$B$15,""),"")</f>
        <v/>
      </c>
      <c r="J594">
        <f>IF(A594="","",TEXT(A594,"mmm-yyyy"))</f>
        <v/>
      </c>
    </row>
    <row r="595">
      <c r="D595">
        <f>IFERROR(XLOOKUP(C595,'Vendor Master'!$A$6:$A$15,'Vendor Master'!$B$6:$B$15,""),"")</f>
        <v/>
      </c>
      <c r="J595">
        <f>IF(A595="","",TEXT(A595,"mmm-yyyy"))</f>
        <v/>
      </c>
    </row>
    <row r="596">
      <c r="D596">
        <f>IFERROR(XLOOKUP(C596,'Vendor Master'!$A$6:$A$15,'Vendor Master'!$B$6:$B$15,""),"")</f>
        <v/>
      </c>
      <c r="J596">
        <f>IF(A596="","",TEXT(A596,"mmm-yyyy"))</f>
        <v/>
      </c>
    </row>
    <row r="597">
      <c r="D597">
        <f>IFERROR(XLOOKUP(C597,'Vendor Master'!$A$6:$A$15,'Vendor Master'!$B$6:$B$15,""),"")</f>
        <v/>
      </c>
      <c r="J597">
        <f>IF(A597="","",TEXT(A597,"mmm-yyyy"))</f>
        <v/>
      </c>
    </row>
    <row r="598">
      <c r="D598">
        <f>IFERROR(XLOOKUP(C598,'Vendor Master'!$A$6:$A$15,'Vendor Master'!$B$6:$B$15,""),"")</f>
        <v/>
      </c>
      <c r="J598">
        <f>IF(A598="","",TEXT(A598,"mmm-yyyy"))</f>
        <v/>
      </c>
    </row>
    <row r="599">
      <c r="D599">
        <f>IFERROR(XLOOKUP(C599,'Vendor Master'!$A$6:$A$15,'Vendor Master'!$B$6:$B$15,""),"")</f>
        <v/>
      </c>
      <c r="J599">
        <f>IF(A599="","",TEXT(A599,"mmm-yyyy"))</f>
        <v/>
      </c>
    </row>
    <row r="600">
      <c r="D600">
        <f>IFERROR(XLOOKUP(C600,'Vendor Master'!$A$6:$A$15,'Vendor Master'!$B$6:$B$15,""),"")</f>
        <v/>
      </c>
      <c r="J600">
        <f>IF(A600="","",TEXT(A600,"mmm-yyyy"))</f>
        <v/>
      </c>
    </row>
    <row r="601">
      <c r="D601">
        <f>IFERROR(XLOOKUP(C601,'Vendor Master'!$A$6:$A$15,'Vendor Master'!$B$6:$B$15,""),"")</f>
        <v/>
      </c>
      <c r="J601">
        <f>IF(A601="","",TEXT(A601,"mmm-yyyy"))</f>
        <v/>
      </c>
    </row>
    <row r="602">
      <c r="D602">
        <f>IFERROR(XLOOKUP(C602,'Vendor Master'!$A$6:$A$15,'Vendor Master'!$B$6:$B$15,""),"")</f>
        <v/>
      </c>
      <c r="J602">
        <f>IF(A602="","",TEXT(A602,"mmm-yyyy"))</f>
        <v/>
      </c>
    </row>
    <row r="603">
      <c r="D603">
        <f>IFERROR(XLOOKUP(C603,'Vendor Master'!$A$6:$A$15,'Vendor Master'!$B$6:$B$15,""),"")</f>
        <v/>
      </c>
      <c r="J603">
        <f>IF(A603="","",TEXT(A603,"mmm-yyyy"))</f>
        <v/>
      </c>
    </row>
    <row r="604">
      <c r="D604">
        <f>IFERROR(XLOOKUP(C604,'Vendor Master'!$A$6:$A$15,'Vendor Master'!$B$6:$B$15,""),"")</f>
        <v/>
      </c>
      <c r="J604">
        <f>IF(A604="","",TEXT(A604,"mmm-yyyy"))</f>
        <v/>
      </c>
    </row>
    <row r="605">
      <c r="D605">
        <f>IFERROR(XLOOKUP(C605,'Vendor Master'!$A$6:$A$15,'Vendor Master'!$B$6:$B$15,""),"")</f>
        <v/>
      </c>
      <c r="J605">
        <f>IF(A605="","",TEXT(A605,"mmm-yyyy"))</f>
        <v/>
      </c>
    </row>
    <row r="606">
      <c r="D606">
        <f>IFERROR(XLOOKUP(C606,'Vendor Master'!$A$6:$A$15,'Vendor Master'!$B$6:$B$15,""),"")</f>
        <v/>
      </c>
      <c r="J606">
        <f>IF(A606="","",TEXT(A606,"mmm-yyyy"))</f>
        <v/>
      </c>
    </row>
    <row r="607">
      <c r="D607">
        <f>IFERROR(XLOOKUP(C607,'Vendor Master'!$A$6:$A$15,'Vendor Master'!$B$6:$B$15,""),"")</f>
        <v/>
      </c>
      <c r="J607">
        <f>IF(A607="","",TEXT(A607,"mmm-yyyy"))</f>
        <v/>
      </c>
    </row>
    <row r="608">
      <c r="D608">
        <f>IFERROR(XLOOKUP(C608,'Vendor Master'!$A$6:$A$15,'Vendor Master'!$B$6:$B$15,""),"")</f>
        <v/>
      </c>
      <c r="J608">
        <f>IF(A608="","",TEXT(A608,"mmm-yyyy"))</f>
        <v/>
      </c>
    </row>
    <row r="609">
      <c r="D609">
        <f>IFERROR(XLOOKUP(C609,'Vendor Master'!$A$6:$A$15,'Vendor Master'!$B$6:$B$15,""),"")</f>
        <v/>
      </c>
      <c r="J609">
        <f>IF(A609="","",TEXT(A609,"mmm-yyyy"))</f>
        <v/>
      </c>
    </row>
    <row r="610">
      <c r="D610">
        <f>IFERROR(XLOOKUP(C610,'Vendor Master'!$A$6:$A$15,'Vendor Master'!$B$6:$B$15,""),"")</f>
        <v/>
      </c>
      <c r="J610">
        <f>IF(A610="","",TEXT(A610,"mmm-yyyy"))</f>
        <v/>
      </c>
    </row>
    <row r="611">
      <c r="D611">
        <f>IFERROR(XLOOKUP(C611,'Vendor Master'!$A$6:$A$15,'Vendor Master'!$B$6:$B$15,""),"")</f>
        <v/>
      </c>
      <c r="J611">
        <f>IF(A611="","",TEXT(A611,"mmm-yyyy"))</f>
        <v/>
      </c>
    </row>
    <row r="612">
      <c r="D612">
        <f>IFERROR(XLOOKUP(C612,'Vendor Master'!$A$6:$A$15,'Vendor Master'!$B$6:$B$15,""),"")</f>
        <v/>
      </c>
      <c r="J612">
        <f>IF(A612="","",TEXT(A612,"mmm-yyyy"))</f>
        <v/>
      </c>
    </row>
    <row r="613">
      <c r="D613">
        <f>IFERROR(XLOOKUP(C613,'Vendor Master'!$A$6:$A$15,'Vendor Master'!$B$6:$B$15,""),"")</f>
        <v/>
      </c>
      <c r="J613">
        <f>IF(A613="","",TEXT(A613,"mmm-yyyy"))</f>
        <v/>
      </c>
    </row>
    <row r="614">
      <c r="D614">
        <f>IFERROR(XLOOKUP(C614,'Vendor Master'!$A$6:$A$15,'Vendor Master'!$B$6:$B$15,""),"")</f>
        <v/>
      </c>
      <c r="J614">
        <f>IF(A614="","",TEXT(A614,"mmm-yyyy"))</f>
        <v/>
      </c>
    </row>
    <row r="615">
      <c r="D615">
        <f>IFERROR(XLOOKUP(C615,'Vendor Master'!$A$6:$A$15,'Vendor Master'!$B$6:$B$15,""),"")</f>
        <v/>
      </c>
      <c r="J615">
        <f>IF(A615="","",TEXT(A615,"mmm-yyyy"))</f>
        <v/>
      </c>
    </row>
    <row r="616">
      <c r="D616">
        <f>IFERROR(XLOOKUP(C616,'Vendor Master'!$A$6:$A$15,'Vendor Master'!$B$6:$B$15,""),"")</f>
        <v/>
      </c>
      <c r="J616">
        <f>IF(A616="","",TEXT(A616,"mmm-yyyy"))</f>
        <v/>
      </c>
    </row>
    <row r="617">
      <c r="D617">
        <f>IFERROR(XLOOKUP(C617,'Vendor Master'!$A$6:$A$15,'Vendor Master'!$B$6:$B$15,""),"")</f>
        <v/>
      </c>
      <c r="J617">
        <f>IF(A617="","",TEXT(A617,"mmm-yyyy"))</f>
        <v/>
      </c>
    </row>
    <row r="618">
      <c r="D618">
        <f>IFERROR(XLOOKUP(C618,'Vendor Master'!$A$6:$A$15,'Vendor Master'!$B$6:$B$15,""),"")</f>
        <v/>
      </c>
      <c r="J618">
        <f>IF(A618="","",TEXT(A618,"mmm-yyyy"))</f>
        <v/>
      </c>
    </row>
    <row r="619">
      <c r="D619">
        <f>IFERROR(XLOOKUP(C619,'Vendor Master'!$A$6:$A$15,'Vendor Master'!$B$6:$B$15,""),"")</f>
        <v/>
      </c>
      <c r="J619">
        <f>IF(A619="","",TEXT(A619,"mmm-yyyy"))</f>
        <v/>
      </c>
    </row>
    <row r="620">
      <c r="D620">
        <f>IFERROR(XLOOKUP(C620,'Vendor Master'!$A$6:$A$15,'Vendor Master'!$B$6:$B$15,""),"")</f>
        <v/>
      </c>
      <c r="J620">
        <f>IF(A620="","",TEXT(A620,"mmm-yyyy"))</f>
        <v/>
      </c>
    </row>
    <row r="621">
      <c r="D621">
        <f>IFERROR(XLOOKUP(C621,'Vendor Master'!$A$6:$A$15,'Vendor Master'!$B$6:$B$15,""),"")</f>
        <v/>
      </c>
      <c r="J621">
        <f>IF(A621="","",TEXT(A621,"mmm-yyyy"))</f>
        <v/>
      </c>
    </row>
    <row r="622">
      <c r="D622">
        <f>IFERROR(XLOOKUP(C622,'Vendor Master'!$A$6:$A$15,'Vendor Master'!$B$6:$B$15,""),"")</f>
        <v/>
      </c>
      <c r="J622">
        <f>IF(A622="","",TEXT(A622,"mmm-yyyy"))</f>
        <v/>
      </c>
    </row>
    <row r="623">
      <c r="D623">
        <f>IFERROR(XLOOKUP(C623,'Vendor Master'!$A$6:$A$15,'Vendor Master'!$B$6:$B$15,""),"")</f>
        <v/>
      </c>
      <c r="J623">
        <f>IF(A623="","",TEXT(A623,"mmm-yyyy"))</f>
        <v/>
      </c>
    </row>
    <row r="624">
      <c r="D624">
        <f>IFERROR(XLOOKUP(C624,'Vendor Master'!$A$6:$A$15,'Vendor Master'!$B$6:$B$15,""),"")</f>
        <v/>
      </c>
      <c r="J624">
        <f>IF(A624="","",TEXT(A624,"mmm-yyyy"))</f>
        <v/>
      </c>
    </row>
    <row r="625">
      <c r="D625">
        <f>IFERROR(XLOOKUP(C625,'Vendor Master'!$A$6:$A$15,'Vendor Master'!$B$6:$B$15,""),"")</f>
        <v/>
      </c>
      <c r="J625">
        <f>IF(A625="","",TEXT(A625,"mmm-yyyy"))</f>
        <v/>
      </c>
    </row>
    <row r="626">
      <c r="D626">
        <f>IFERROR(XLOOKUP(C626,'Vendor Master'!$A$6:$A$15,'Vendor Master'!$B$6:$B$15,""),"")</f>
        <v/>
      </c>
      <c r="J626">
        <f>IF(A626="","",TEXT(A626,"mmm-yyyy"))</f>
        <v/>
      </c>
    </row>
    <row r="627">
      <c r="D627">
        <f>IFERROR(XLOOKUP(C627,'Vendor Master'!$A$6:$A$15,'Vendor Master'!$B$6:$B$15,""),"")</f>
        <v/>
      </c>
      <c r="J627">
        <f>IF(A627="","",TEXT(A627,"mmm-yyyy"))</f>
        <v/>
      </c>
    </row>
    <row r="628">
      <c r="D628">
        <f>IFERROR(XLOOKUP(C628,'Vendor Master'!$A$6:$A$15,'Vendor Master'!$B$6:$B$15,""),"")</f>
        <v/>
      </c>
      <c r="J628">
        <f>IF(A628="","",TEXT(A628,"mmm-yyyy"))</f>
        <v/>
      </c>
    </row>
    <row r="629">
      <c r="D629">
        <f>IFERROR(XLOOKUP(C629,'Vendor Master'!$A$6:$A$15,'Vendor Master'!$B$6:$B$15,""),"")</f>
        <v/>
      </c>
      <c r="J629">
        <f>IF(A629="","",TEXT(A629,"mmm-yyyy"))</f>
        <v/>
      </c>
    </row>
    <row r="630">
      <c r="D630">
        <f>IFERROR(XLOOKUP(C630,'Vendor Master'!$A$6:$A$15,'Vendor Master'!$B$6:$B$15,""),"")</f>
        <v/>
      </c>
      <c r="J630">
        <f>IF(A630="","",TEXT(A630,"mmm-yyyy"))</f>
        <v/>
      </c>
    </row>
    <row r="631">
      <c r="D631">
        <f>IFERROR(XLOOKUP(C631,'Vendor Master'!$A$6:$A$15,'Vendor Master'!$B$6:$B$15,""),"")</f>
        <v/>
      </c>
      <c r="J631">
        <f>IF(A631="","",TEXT(A631,"mmm-yyyy"))</f>
        <v/>
      </c>
    </row>
    <row r="632">
      <c r="D632">
        <f>IFERROR(XLOOKUP(C632,'Vendor Master'!$A$6:$A$15,'Vendor Master'!$B$6:$B$15,""),"")</f>
        <v/>
      </c>
      <c r="J632">
        <f>IF(A632="","",TEXT(A632,"mmm-yyyy"))</f>
        <v/>
      </c>
    </row>
    <row r="633">
      <c r="D633">
        <f>IFERROR(XLOOKUP(C633,'Vendor Master'!$A$6:$A$15,'Vendor Master'!$B$6:$B$15,""),"")</f>
        <v/>
      </c>
      <c r="J633">
        <f>IF(A633="","",TEXT(A633,"mmm-yyyy"))</f>
        <v/>
      </c>
    </row>
    <row r="634">
      <c r="D634">
        <f>IFERROR(XLOOKUP(C634,'Vendor Master'!$A$6:$A$15,'Vendor Master'!$B$6:$B$15,""),"")</f>
        <v/>
      </c>
      <c r="J634">
        <f>IF(A634="","",TEXT(A634,"mmm-yyyy"))</f>
        <v/>
      </c>
    </row>
    <row r="635">
      <c r="D635">
        <f>IFERROR(XLOOKUP(C635,'Vendor Master'!$A$6:$A$15,'Vendor Master'!$B$6:$B$15,""),"")</f>
        <v/>
      </c>
      <c r="J635">
        <f>IF(A635="","",TEXT(A635,"mmm-yyyy"))</f>
        <v/>
      </c>
    </row>
    <row r="636">
      <c r="D636">
        <f>IFERROR(XLOOKUP(C636,'Vendor Master'!$A$6:$A$15,'Vendor Master'!$B$6:$B$15,""),"")</f>
        <v/>
      </c>
      <c r="J636">
        <f>IF(A636="","",TEXT(A636,"mmm-yyyy"))</f>
        <v/>
      </c>
    </row>
    <row r="637">
      <c r="D637">
        <f>IFERROR(XLOOKUP(C637,'Vendor Master'!$A$6:$A$15,'Vendor Master'!$B$6:$B$15,""),"")</f>
        <v/>
      </c>
      <c r="J637">
        <f>IF(A637="","",TEXT(A637,"mmm-yyyy"))</f>
        <v/>
      </c>
    </row>
    <row r="638">
      <c r="D638">
        <f>IFERROR(XLOOKUP(C638,'Vendor Master'!$A$6:$A$15,'Vendor Master'!$B$6:$B$15,""),"")</f>
        <v/>
      </c>
      <c r="J638">
        <f>IF(A638="","",TEXT(A638,"mmm-yyyy"))</f>
        <v/>
      </c>
    </row>
    <row r="639">
      <c r="D639">
        <f>IFERROR(XLOOKUP(C639,'Vendor Master'!$A$6:$A$15,'Vendor Master'!$B$6:$B$15,""),"")</f>
        <v/>
      </c>
      <c r="J639">
        <f>IF(A639="","",TEXT(A639,"mmm-yyyy"))</f>
        <v/>
      </c>
    </row>
    <row r="640">
      <c r="D640">
        <f>IFERROR(XLOOKUP(C640,'Vendor Master'!$A$6:$A$15,'Vendor Master'!$B$6:$B$15,""),"")</f>
        <v/>
      </c>
      <c r="J640">
        <f>IF(A640="","",TEXT(A640,"mmm-yyyy"))</f>
        <v/>
      </c>
    </row>
    <row r="641">
      <c r="D641">
        <f>IFERROR(XLOOKUP(C641,'Vendor Master'!$A$6:$A$15,'Vendor Master'!$B$6:$B$15,""),"")</f>
        <v/>
      </c>
      <c r="J641">
        <f>IF(A641="","",TEXT(A641,"mmm-yyyy"))</f>
        <v/>
      </c>
    </row>
    <row r="642">
      <c r="D642">
        <f>IFERROR(XLOOKUP(C642,'Vendor Master'!$A$6:$A$15,'Vendor Master'!$B$6:$B$15,""),"")</f>
        <v/>
      </c>
      <c r="J642">
        <f>IF(A642="","",TEXT(A642,"mmm-yyyy"))</f>
        <v/>
      </c>
    </row>
    <row r="643">
      <c r="D643">
        <f>IFERROR(XLOOKUP(C643,'Vendor Master'!$A$6:$A$15,'Vendor Master'!$B$6:$B$15,""),"")</f>
        <v/>
      </c>
      <c r="J643">
        <f>IF(A643="","",TEXT(A643,"mmm-yyyy"))</f>
        <v/>
      </c>
    </row>
    <row r="644">
      <c r="D644">
        <f>IFERROR(XLOOKUP(C644,'Vendor Master'!$A$6:$A$15,'Vendor Master'!$B$6:$B$15,""),"")</f>
        <v/>
      </c>
      <c r="J644">
        <f>IF(A644="","",TEXT(A644,"mmm-yyyy"))</f>
        <v/>
      </c>
    </row>
    <row r="645">
      <c r="D645">
        <f>IFERROR(XLOOKUP(C645,'Vendor Master'!$A$6:$A$15,'Vendor Master'!$B$6:$B$15,""),"")</f>
        <v/>
      </c>
      <c r="J645">
        <f>IF(A645="","",TEXT(A645,"mmm-yyyy"))</f>
        <v/>
      </c>
    </row>
    <row r="646">
      <c r="D646">
        <f>IFERROR(XLOOKUP(C646,'Vendor Master'!$A$6:$A$15,'Vendor Master'!$B$6:$B$15,""),"")</f>
        <v/>
      </c>
      <c r="J646">
        <f>IF(A646="","",TEXT(A646,"mmm-yyyy"))</f>
        <v/>
      </c>
    </row>
    <row r="647">
      <c r="D647">
        <f>IFERROR(XLOOKUP(C647,'Vendor Master'!$A$6:$A$15,'Vendor Master'!$B$6:$B$15,""),"")</f>
        <v/>
      </c>
      <c r="J647">
        <f>IF(A647="","",TEXT(A647,"mmm-yyyy"))</f>
        <v/>
      </c>
    </row>
    <row r="648">
      <c r="D648">
        <f>IFERROR(XLOOKUP(C648,'Vendor Master'!$A$6:$A$15,'Vendor Master'!$B$6:$B$15,""),"")</f>
        <v/>
      </c>
      <c r="J648">
        <f>IF(A648="","",TEXT(A648,"mmm-yyyy"))</f>
        <v/>
      </c>
    </row>
    <row r="649">
      <c r="D649">
        <f>IFERROR(XLOOKUP(C649,'Vendor Master'!$A$6:$A$15,'Vendor Master'!$B$6:$B$15,""),"")</f>
        <v/>
      </c>
      <c r="J649">
        <f>IF(A649="","",TEXT(A649,"mmm-yyyy"))</f>
        <v/>
      </c>
    </row>
    <row r="650">
      <c r="D650">
        <f>IFERROR(XLOOKUP(C650,'Vendor Master'!$A$6:$A$15,'Vendor Master'!$B$6:$B$15,""),"")</f>
        <v/>
      </c>
      <c r="J650">
        <f>IF(A650="","",TEXT(A650,"mmm-yyyy"))</f>
        <v/>
      </c>
    </row>
    <row r="651">
      <c r="D651">
        <f>IFERROR(XLOOKUP(C651,'Vendor Master'!$A$6:$A$15,'Vendor Master'!$B$6:$B$15,""),"")</f>
        <v/>
      </c>
      <c r="J651">
        <f>IF(A651="","",TEXT(A651,"mmm-yyyy"))</f>
        <v/>
      </c>
    </row>
    <row r="652">
      <c r="D652">
        <f>IFERROR(XLOOKUP(C652,'Vendor Master'!$A$6:$A$15,'Vendor Master'!$B$6:$B$15,""),"")</f>
        <v/>
      </c>
      <c r="J652">
        <f>IF(A652="","",TEXT(A652,"mmm-yyyy"))</f>
        <v/>
      </c>
    </row>
    <row r="653">
      <c r="D653">
        <f>IFERROR(XLOOKUP(C653,'Vendor Master'!$A$6:$A$15,'Vendor Master'!$B$6:$B$15,""),"")</f>
        <v/>
      </c>
      <c r="J653">
        <f>IF(A653="","",TEXT(A653,"mmm-yyyy"))</f>
        <v/>
      </c>
    </row>
    <row r="654">
      <c r="D654">
        <f>IFERROR(XLOOKUP(C654,'Vendor Master'!$A$6:$A$15,'Vendor Master'!$B$6:$B$15,""),"")</f>
        <v/>
      </c>
      <c r="J654">
        <f>IF(A654="","",TEXT(A654,"mmm-yyyy"))</f>
        <v/>
      </c>
    </row>
    <row r="655">
      <c r="D655">
        <f>IFERROR(XLOOKUP(C655,'Vendor Master'!$A$6:$A$15,'Vendor Master'!$B$6:$B$15,""),"")</f>
        <v/>
      </c>
      <c r="J655">
        <f>IF(A655="","",TEXT(A655,"mmm-yyyy"))</f>
        <v/>
      </c>
    </row>
    <row r="656">
      <c r="D656">
        <f>IFERROR(XLOOKUP(C656,'Vendor Master'!$A$6:$A$15,'Vendor Master'!$B$6:$B$15,""),"")</f>
        <v/>
      </c>
      <c r="J656">
        <f>IF(A656="","",TEXT(A656,"mmm-yyyy"))</f>
        <v/>
      </c>
    </row>
    <row r="657">
      <c r="D657">
        <f>IFERROR(XLOOKUP(C657,'Vendor Master'!$A$6:$A$15,'Vendor Master'!$B$6:$B$15,""),"")</f>
        <v/>
      </c>
      <c r="J657">
        <f>IF(A657="","",TEXT(A657,"mmm-yyyy"))</f>
        <v/>
      </c>
    </row>
    <row r="658">
      <c r="D658">
        <f>IFERROR(XLOOKUP(C658,'Vendor Master'!$A$6:$A$15,'Vendor Master'!$B$6:$B$15,""),"")</f>
        <v/>
      </c>
      <c r="J658">
        <f>IF(A658="","",TEXT(A658,"mmm-yyyy"))</f>
        <v/>
      </c>
    </row>
    <row r="659">
      <c r="D659">
        <f>IFERROR(XLOOKUP(C659,'Vendor Master'!$A$6:$A$15,'Vendor Master'!$B$6:$B$15,""),"")</f>
        <v/>
      </c>
      <c r="J659">
        <f>IF(A659="","",TEXT(A659,"mmm-yyyy"))</f>
        <v/>
      </c>
    </row>
    <row r="660">
      <c r="D660">
        <f>IFERROR(XLOOKUP(C660,'Vendor Master'!$A$6:$A$15,'Vendor Master'!$B$6:$B$15,""),"")</f>
        <v/>
      </c>
      <c r="J660">
        <f>IF(A660="","",TEXT(A660,"mmm-yyyy"))</f>
        <v/>
      </c>
    </row>
    <row r="661">
      <c r="D661">
        <f>IFERROR(XLOOKUP(C661,'Vendor Master'!$A$6:$A$15,'Vendor Master'!$B$6:$B$15,""),"")</f>
        <v/>
      </c>
      <c r="J661">
        <f>IF(A661="","",TEXT(A661,"mmm-yyyy"))</f>
        <v/>
      </c>
    </row>
    <row r="662">
      <c r="D662">
        <f>IFERROR(XLOOKUP(C662,'Vendor Master'!$A$6:$A$15,'Vendor Master'!$B$6:$B$15,""),"")</f>
        <v/>
      </c>
      <c r="J662">
        <f>IF(A662="","",TEXT(A662,"mmm-yyyy"))</f>
        <v/>
      </c>
    </row>
    <row r="663">
      <c r="D663">
        <f>IFERROR(XLOOKUP(C663,'Vendor Master'!$A$6:$A$15,'Vendor Master'!$B$6:$B$15,""),"")</f>
        <v/>
      </c>
      <c r="J663">
        <f>IF(A663="","",TEXT(A663,"mmm-yyyy"))</f>
        <v/>
      </c>
    </row>
    <row r="664">
      <c r="D664">
        <f>IFERROR(XLOOKUP(C664,'Vendor Master'!$A$6:$A$15,'Vendor Master'!$B$6:$B$15,""),"")</f>
        <v/>
      </c>
      <c r="J664">
        <f>IF(A664="","",TEXT(A664,"mmm-yyyy"))</f>
        <v/>
      </c>
    </row>
    <row r="665">
      <c r="D665">
        <f>IFERROR(XLOOKUP(C665,'Vendor Master'!$A$6:$A$15,'Vendor Master'!$B$6:$B$15,""),"")</f>
        <v/>
      </c>
      <c r="J665">
        <f>IF(A665="","",TEXT(A665,"mmm-yyyy"))</f>
        <v/>
      </c>
    </row>
    <row r="666">
      <c r="D666">
        <f>IFERROR(XLOOKUP(C666,'Vendor Master'!$A$6:$A$15,'Vendor Master'!$B$6:$B$15,""),"")</f>
        <v/>
      </c>
      <c r="J666">
        <f>IF(A666="","",TEXT(A666,"mmm-yyyy"))</f>
        <v/>
      </c>
    </row>
    <row r="667">
      <c r="D667">
        <f>IFERROR(XLOOKUP(C667,'Vendor Master'!$A$6:$A$15,'Vendor Master'!$B$6:$B$15,""),"")</f>
        <v/>
      </c>
      <c r="J667">
        <f>IF(A667="","",TEXT(A667,"mmm-yyyy"))</f>
        <v/>
      </c>
    </row>
    <row r="668">
      <c r="D668">
        <f>IFERROR(XLOOKUP(C668,'Vendor Master'!$A$6:$A$15,'Vendor Master'!$B$6:$B$15,""),"")</f>
        <v/>
      </c>
      <c r="J668">
        <f>IF(A668="","",TEXT(A668,"mmm-yyyy"))</f>
        <v/>
      </c>
    </row>
    <row r="669">
      <c r="D669">
        <f>IFERROR(XLOOKUP(C669,'Vendor Master'!$A$6:$A$15,'Vendor Master'!$B$6:$B$15,""),"")</f>
        <v/>
      </c>
      <c r="J669">
        <f>IF(A669="","",TEXT(A669,"mmm-yyyy"))</f>
        <v/>
      </c>
    </row>
    <row r="670">
      <c r="D670">
        <f>IFERROR(XLOOKUP(C670,'Vendor Master'!$A$6:$A$15,'Vendor Master'!$B$6:$B$15,""),"")</f>
        <v/>
      </c>
      <c r="J670">
        <f>IF(A670="","",TEXT(A670,"mmm-yyyy"))</f>
        <v/>
      </c>
    </row>
    <row r="671">
      <c r="D671">
        <f>IFERROR(XLOOKUP(C671,'Vendor Master'!$A$6:$A$15,'Vendor Master'!$B$6:$B$15,""),"")</f>
        <v/>
      </c>
      <c r="J671">
        <f>IF(A671="","",TEXT(A671,"mmm-yyyy"))</f>
        <v/>
      </c>
    </row>
    <row r="672">
      <c r="D672">
        <f>IFERROR(XLOOKUP(C672,'Vendor Master'!$A$6:$A$15,'Vendor Master'!$B$6:$B$15,""),"")</f>
        <v/>
      </c>
      <c r="J672">
        <f>IF(A672="","",TEXT(A672,"mmm-yyyy"))</f>
        <v/>
      </c>
    </row>
    <row r="673">
      <c r="D673">
        <f>IFERROR(XLOOKUP(C673,'Vendor Master'!$A$6:$A$15,'Vendor Master'!$B$6:$B$15,""),"")</f>
        <v/>
      </c>
      <c r="J673">
        <f>IF(A673="","",TEXT(A673,"mmm-yyyy"))</f>
        <v/>
      </c>
    </row>
    <row r="674">
      <c r="D674">
        <f>IFERROR(XLOOKUP(C674,'Vendor Master'!$A$6:$A$15,'Vendor Master'!$B$6:$B$15,""),"")</f>
        <v/>
      </c>
      <c r="J674">
        <f>IF(A674="","",TEXT(A674,"mmm-yyyy"))</f>
        <v/>
      </c>
    </row>
    <row r="675">
      <c r="D675">
        <f>IFERROR(XLOOKUP(C675,'Vendor Master'!$A$6:$A$15,'Vendor Master'!$B$6:$B$15,""),"")</f>
        <v/>
      </c>
      <c r="J675">
        <f>IF(A675="","",TEXT(A675,"mmm-yyyy"))</f>
        <v/>
      </c>
    </row>
    <row r="676">
      <c r="D676">
        <f>IFERROR(XLOOKUP(C676,'Vendor Master'!$A$6:$A$15,'Vendor Master'!$B$6:$B$15,""),"")</f>
        <v/>
      </c>
      <c r="J676">
        <f>IF(A676="","",TEXT(A676,"mmm-yyyy"))</f>
        <v/>
      </c>
    </row>
    <row r="677">
      <c r="D677">
        <f>IFERROR(XLOOKUP(C677,'Vendor Master'!$A$6:$A$15,'Vendor Master'!$B$6:$B$15,""),"")</f>
        <v/>
      </c>
      <c r="J677">
        <f>IF(A677="","",TEXT(A677,"mmm-yyyy"))</f>
        <v/>
      </c>
    </row>
    <row r="678">
      <c r="D678">
        <f>IFERROR(XLOOKUP(C678,'Vendor Master'!$A$6:$A$15,'Vendor Master'!$B$6:$B$15,""),"")</f>
        <v/>
      </c>
      <c r="J678">
        <f>IF(A678="","",TEXT(A678,"mmm-yyyy"))</f>
        <v/>
      </c>
    </row>
    <row r="679">
      <c r="D679">
        <f>IFERROR(XLOOKUP(C679,'Vendor Master'!$A$6:$A$15,'Vendor Master'!$B$6:$B$15,""),"")</f>
        <v/>
      </c>
      <c r="J679">
        <f>IF(A679="","",TEXT(A679,"mmm-yyyy"))</f>
        <v/>
      </c>
    </row>
    <row r="680">
      <c r="D680">
        <f>IFERROR(XLOOKUP(C680,'Vendor Master'!$A$6:$A$15,'Vendor Master'!$B$6:$B$15,""),"")</f>
        <v/>
      </c>
      <c r="J680">
        <f>IF(A680="","",TEXT(A680,"mmm-yyyy"))</f>
        <v/>
      </c>
    </row>
    <row r="681">
      <c r="D681">
        <f>IFERROR(XLOOKUP(C681,'Vendor Master'!$A$6:$A$15,'Vendor Master'!$B$6:$B$15,""),"")</f>
        <v/>
      </c>
      <c r="J681">
        <f>IF(A681="","",TEXT(A681,"mmm-yyyy"))</f>
        <v/>
      </c>
    </row>
    <row r="682">
      <c r="D682">
        <f>IFERROR(XLOOKUP(C682,'Vendor Master'!$A$6:$A$15,'Vendor Master'!$B$6:$B$15,""),"")</f>
        <v/>
      </c>
      <c r="J682">
        <f>IF(A682="","",TEXT(A682,"mmm-yyyy"))</f>
        <v/>
      </c>
    </row>
    <row r="683">
      <c r="D683">
        <f>IFERROR(XLOOKUP(C683,'Vendor Master'!$A$6:$A$15,'Vendor Master'!$B$6:$B$15,""),"")</f>
        <v/>
      </c>
      <c r="J683">
        <f>IF(A683="","",TEXT(A683,"mmm-yyyy"))</f>
        <v/>
      </c>
    </row>
    <row r="684">
      <c r="D684">
        <f>IFERROR(XLOOKUP(C684,'Vendor Master'!$A$6:$A$15,'Vendor Master'!$B$6:$B$15,""),"")</f>
        <v/>
      </c>
      <c r="J684">
        <f>IF(A684="","",TEXT(A684,"mmm-yyyy"))</f>
        <v/>
      </c>
    </row>
    <row r="685">
      <c r="D685">
        <f>IFERROR(XLOOKUP(C685,'Vendor Master'!$A$6:$A$15,'Vendor Master'!$B$6:$B$15,""),"")</f>
        <v/>
      </c>
      <c r="J685">
        <f>IF(A685="","",TEXT(A685,"mmm-yyyy"))</f>
        <v/>
      </c>
    </row>
    <row r="686">
      <c r="D686">
        <f>IFERROR(XLOOKUP(C686,'Vendor Master'!$A$6:$A$15,'Vendor Master'!$B$6:$B$15,""),"")</f>
        <v/>
      </c>
      <c r="J686">
        <f>IF(A686="","",TEXT(A686,"mmm-yyyy"))</f>
        <v/>
      </c>
    </row>
    <row r="687">
      <c r="D687">
        <f>IFERROR(XLOOKUP(C687,'Vendor Master'!$A$6:$A$15,'Vendor Master'!$B$6:$B$15,""),"")</f>
        <v/>
      </c>
      <c r="J687">
        <f>IF(A687="","",TEXT(A687,"mmm-yyyy"))</f>
        <v/>
      </c>
    </row>
    <row r="688">
      <c r="D688">
        <f>IFERROR(XLOOKUP(C688,'Vendor Master'!$A$6:$A$15,'Vendor Master'!$B$6:$B$15,""),"")</f>
        <v/>
      </c>
      <c r="J688">
        <f>IF(A688="","",TEXT(A688,"mmm-yyyy"))</f>
        <v/>
      </c>
    </row>
    <row r="689">
      <c r="D689">
        <f>IFERROR(XLOOKUP(C689,'Vendor Master'!$A$6:$A$15,'Vendor Master'!$B$6:$B$15,""),"")</f>
        <v/>
      </c>
      <c r="J689">
        <f>IF(A689="","",TEXT(A689,"mmm-yyyy"))</f>
        <v/>
      </c>
    </row>
    <row r="690">
      <c r="D690">
        <f>IFERROR(XLOOKUP(C690,'Vendor Master'!$A$6:$A$15,'Vendor Master'!$B$6:$B$15,""),"")</f>
        <v/>
      </c>
      <c r="J690">
        <f>IF(A690="","",TEXT(A690,"mmm-yyyy"))</f>
        <v/>
      </c>
    </row>
    <row r="691">
      <c r="D691">
        <f>IFERROR(XLOOKUP(C691,'Vendor Master'!$A$6:$A$15,'Vendor Master'!$B$6:$B$15,""),"")</f>
        <v/>
      </c>
      <c r="J691">
        <f>IF(A691="","",TEXT(A691,"mmm-yyyy"))</f>
        <v/>
      </c>
    </row>
    <row r="692">
      <c r="D692">
        <f>IFERROR(XLOOKUP(C692,'Vendor Master'!$A$6:$A$15,'Vendor Master'!$B$6:$B$15,""),"")</f>
        <v/>
      </c>
      <c r="J692">
        <f>IF(A692="","",TEXT(A692,"mmm-yyyy"))</f>
        <v/>
      </c>
    </row>
    <row r="693">
      <c r="D693">
        <f>IFERROR(XLOOKUP(C693,'Vendor Master'!$A$6:$A$15,'Vendor Master'!$B$6:$B$15,""),"")</f>
        <v/>
      </c>
      <c r="J693">
        <f>IF(A693="","",TEXT(A693,"mmm-yyyy"))</f>
        <v/>
      </c>
    </row>
    <row r="694">
      <c r="D694">
        <f>IFERROR(XLOOKUP(C694,'Vendor Master'!$A$6:$A$15,'Vendor Master'!$B$6:$B$15,""),"")</f>
        <v/>
      </c>
      <c r="J694">
        <f>IF(A694="","",TEXT(A694,"mmm-yyyy"))</f>
        <v/>
      </c>
    </row>
    <row r="695">
      <c r="D695">
        <f>IFERROR(XLOOKUP(C695,'Vendor Master'!$A$6:$A$15,'Vendor Master'!$B$6:$B$15,""),"")</f>
        <v/>
      </c>
      <c r="J695">
        <f>IF(A695="","",TEXT(A695,"mmm-yyyy"))</f>
        <v/>
      </c>
    </row>
    <row r="696">
      <c r="D696">
        <f>IFERROR(XLOOKUP(C696,'Vendor Master'!$A$6:$A$15,'Vendor Master'!$B$6:$B$15,""),"")</f>
        <v/>
      </c>
      <c r="J696">
        <f>IF(A696="","",TEXT(A696,"mmm-yyyy"))</f>
        <v/>
      </c>
    </row>
    <row r="697">
      <c r="D697">
        <f>IFERROR(XLOOKUP(C697,'Vendor Master'!$A$6:$A$15,'Vendor Master'!$B$6:$B$15,""),"")</f>
        <v/>
      </c>
      <c r="J697">
        <f>IF(A697="","",TEXT(A697,"mmm-yyyy"))</f>
        <v/>
      </c>
    </row>
    <row r="698">
      <c r="D698">
        <f>IFERROR(XLOOKUP(C698,'Vendor Master'!$A$6:$A$15,'Vendor Master'!$B$6:$B$15,""),"")</f>
        <v/>
      </c>
      <c r="J698">
        <f>IF(A698="","",TEXT(A698,"mmm-yyyy"))</f>
        <v/>
      </c>
    </row>
    <row r="699">
      <c r="D699">
        <f>IFERROR(XLOOKUP(C699,'Vendor Master'!$A$6:$A$15,'Vendor Master'!$B$6:$B$15,""),"")</f>
        <v/>
      </c>
      <c r="J699">
        <f>IF(A699="","",TEXT(A699,"mmm-yyyy"))</f>
        <v/>
      </c>
    </row>
    <row r="700">
      <c r="D700">
        <f>IFERROR(XLOOKUP(C700,'Vendor Master'!$A$6:$A$15,'Vendor Master'!$B$6:$B$15,""),"")</f>
        <v/>
      </c>
      <c r="J700">
        <f>IF(A700="","",TEXT(A700,"mmm-yyyy"))</f>
        <v/>
      </c>
    </row>
    <row r="701">
      <c r="D701">
        <f>IFERROR(XLOOKUP(C701,'Vendor Master'!$A$6:$A$15,'Vendor Master'!$B$6:$B$15,""),"")</f>
        <v/>
      </c>
      <c r="J701">
        <f>IF(A701="","",TEXT(A701,"mmm-yyyy"))</f>
        <v/>
      </c>
    </row>
    <row r="702">
      <c r="D702">
        <f>IFERROR(XLOOKUP(C702,'Vendor Master'!$A$6:$A$15,'Vendor Master'!$B$6:$B$15,""),"")</f>
        <v/>
      </c>
      <c r="J702">
        <f>IF(A702="","",TEXT(A702,"mmm-yyyy"))</f>
        <v/>
      </c>
    </row>
    <row r="703">
      <c r="D703">
        <f>IFERROR(XLOOKUP(C703,'Vendor Master'!$A$6:$A$15,'Vendor Master'!$B$6:$B$15,""),"")</f>
        <v/>
      </c>
      <c r="J703">
        <f>IF(A703="","",TEXT(A703,"mmm-yyyy"))</f>
        <v/>
      </c>
    </row>
    <row r="704">
      <c r="D704">
        <f>IFERROR(XLOOKUP(C704,'Vendor Master'!$A$6:$A$15,'Vendor Master'!$B$6:$B$15,""),"")</f>
        <v/>
      </c>
      <c r="J704">
        <f>IF(A704="","",TEXT(A704,"mmm-yyyy"))</f>
        <v/>
      </c>
    </row>
    <row r="705">
      <c r="D705">
        <f>IFERROR(XLOOKUP(C705,'Vendor Master'!$A$6:$A$15,'Vendor Master'!$B$6:$B$15,""),"")</f>
        <v/>
      </c>
      <c r="J705">
        <f>IF(A705="","",TEXT(A705,"mmm-yyyy"))</f>
        <v/>
      </c>
    </row>
    <row r="706">
      <c r="D706">
        <f>IFERROR(XLOOKUP(C706,'Vendor Master'!$A$6:$A$15,'Vendor Master'!$B$6:$B$15,""),"")</f>
        <v/>
      </c>
      <c r="J706">
        <f>IF(A706="","",TEXT(A706,"mmm-yyyy"))</f>
        <v/>
      </c>
    </row>
    <row r="707">
      <c r="D707">
        <f>IFERROR(XLOOKUP(C707,'Vendor Master'!$A$6:$A$15,'Vendor Master'!$B$6:$B$15,""),"")</f>
        <v/>
      </c>
      <c r="J707">
        <f>IF(A707="","",TEXT(A707,"mmm-yyyy"))</f>
        <v/>
      </c>
    </row>
    <row r="708">
      <c r="D708">
        <f>IFERROR(XLOOKUP(C708,'Vendor Master'!$A$6:$A$15,'Vendor Master'!$B$6:$B$15,""),"")</f>
        <v/>
      </c>
      <c r="J708">
        <f>IF(A708="","",TEXT(A708,"mmm-yyyy"))</f>
        <v/>
      </c>
    </row>
    <row r="709">
      <c r="D709">
        <f>IFERROR(XLOOKUP(C709,'Vendor Master'!$A$6:$A$15,'Vendor Master'!$B$6:$B$15,""),"")</f>
        <v/>
      </c>
      <c r="J709">
        <f>IF(A709="","",TEXT(A709,"mmm-yyyy"))</f>
        <v/>
      </c>
    </row>
    <row r="710">
      <c r="D710">
        <f>IFERROR(XLOOKUP(C710,'Vendor Master'!$A$6:$A$15,'Vendor Master'!$B$6:$B$15,""),"")</f>
        <v/>
      </c>
      <c r="J710">
        <f>IF(A710="","",TEXT(A710,"mmm-yyyy"))</f>
        <v/>
      </c>
    </row>
    <row r="711">
      <c r="D711">
        <f>IFERROR(XLOOKUP(C711,'Vendor Master'!$A$6:$A$15,'Vendor Master'!$B$6:$B$15,""),"")</f>
        <v/>
      </c>
      <c r="J711">
        <f>IF(A711="","",TEXT(A711,"mmm-yyyy"))</f>
        <v/>
      </c>
    </row>
    <row r="712">
      <c r="D712">
        <f>IFERROR(XLOOKUP(C712,'Vendor Master'!$A$6:$A$15,'Vendor Master'!$B$6:$B$15,""),"")</f>
        <v/>
      </c>
      <c r="J712">
        <f>IF(A712="","",TEXT(A712,"mmm-yyyy"))</f>
        <v/>
      </c>
    </row>
    <row r="713">
      <c r="D713">
        <f>IFERROR(XLOOKUP(C713,'Vendor Master'!$A$6:$A$15,'Vendor Master'!$B$6:$B$15,""),"")</f>
        <v/>
      </c>
      <c r="J713">
        <f>IF(A713="","",TEXT(A713,"mmm-yyyy"))</f>
        <v/>
      </c>
    </row>
    <row r="714">
      <c r="D714">
        <f>IFERROR(XLOOKUP(C714,'Vendor Master'!$A$6:$A$15,'Vendor Master'!$B$6:$B$15,""),"")</f>
        <v/>
      </c>
      <c r="J714">
        <f>IF(A714="","",TEXT(A714,"mmm-yyyy"))</f>
        <v/>
      </c>
    </row>
    <row r="715">
      <c r="D715">
        <f>IFERROR(XLOOKUP(C715,'Vendor Master'!$A$6:$A$15,'Vendor Master'!$B$6:$B$15,""),"")</f>
        <v/>
      </c>
      <c r="J715">
        <f>IF(A715="","",TEXT(A715,"mmm-yyyy"))</f>
        <v/>
      </c>
    </row>
    <row r="716">
      <c r="D716">
        <f>IFERROR(XLOOKUP(C716,'Vendor Master'!$A$6:$A$15,'Vendor Master'!$B$6:$B$15,""),"")</f>
        <v/>
      </c>
      <c r="J716">
        <f>IF(A716="","",TEXT(A716,"mmm-yyyy"))</f>
        <v/>
      </c>
    </row>
    <row r="717">
      <c r="D717">
        <f>IFERROR(XLOOKUP(C717,'Vendor Master'!$A$6:$A$15,'Vendor Master'!$B$6:$B$15,""),"")</f>
        <v/>
      </c>
      <c r="J717">
        <f>IF(A717="","",TEXT(A717,"mmm-yyyy"))</f>
        <v/>
      </c>
    </row>
    <row r="718">
      <c r="D718">
        <f>IFERROR(XLOOKUP(C718,'Vendor Master'!$A$6:$A$15,'Vendor Master'!$B$6:$B$15,""),"")</f>
        <v/>
      </c>
      <c r="J718">
        <f>IF(A718="","",TEXT(A718,"mmm-yyyy"))</f>
        <v/>
      </c>
    </row>
    <row r="719">
      <c r="D719">
        <f>IFERROR(XLOOKUP(C719,'Vendor Master'!$A$6:$A$15,'Vendor Master'!$B$6:$B$15,""),"")</f>
        <v/>
      </c>
      <c r="J719">
        <f>IF(A719="","",TEXT(A719,"mmm-yyyy"))</f>
        <v/>
      </c>
    </row>
    <row r="720">
      <c r="D720">
        <f>IFERROR(XLOOKUP(C720,'Vendor Master'!$A$6:$A$15,'Vendor Master'!$B$6:$B$15,""),"")</f>
        <v/>
      </c>
      <c r="J720">
        <f>IF(A720="","",TEXT(A720,"mmm-yyyy"))</f>
        <v/>
      </c>
    </row>
    <row r="721">
      <c r="D721">
        <f>IFERROR(XLOOKUP(C721,'Vendor Master'!$A$6:$A$15,'Vendor Master'!$B$6:$B$15,""),"")</f>
        <v/>
      </c>
      <c r="J721">
        <f>IF(A721="","",TEXT(A721,"mmm-yyyy"))</f>
        <v/>
      </c>
    </row>
    <row r="722">
      <c r="D722">
        <f>IFERROR(XLOOKUP(C722,'Vendor Master'!$A$6:$A$15,'Vendor Master'!$B$6:$B$15,""),"")</f>
        <v/>
      </c>
      <c r="J722">
        <f>IF(A722="","",TEXT(A722,"mmm-yyyy"))</f>
        <v/>
      </c>
    </row>
    <row r="723">
      <c r="D723">
        <f>IFERROR(XLOOKUP(C723,'Vendor Master'!$A$6:$A$15,'Vendor Master'!$B$6:$B$15,""),"")</f>
        <v/>
      </c>
      <c r="J723">
        <f>IF(A723="","",TEXT(A723,"mmm-yyyy"))</f>
        <v/>
      </c>
    </row>
    <row r="724">
      <c r="D724">
        <f>IFERROR(XLOOKUP(C724,'Vendor Master'!$A$6:$A$15,'Vendor Master'!$B$6:$B$15,""),"")</f>
        <v/>
      </c>
      <c r="J724">
        <f>IF(A724="","",TEXT(A724,"mmm-yyyy"))</f>
        <v/>
      </c>
    </row>
    <row r="725">
      <c r="D725">
        <f>IFERROR(XLOOKUP(C725,'Vendor Master'!$A$6:$A$15,'Vendor Master'!$B$6:$B$15,""),"")</f>
        <v/>
      </c>
      <c r="J725">
        <f>IF(A725="","",TEXT(A725,"mmm-yyyy"))</f>
        <v/>
      </c>
    </row>
    <row r="726">
      <c r="D726">
        <f>IFERROR(XLOOKUP(C726,'Vendor Master'!$A$6:$A$15,'Vendor Master'!$B$6:$B$15,""),"")</f>
        <v/>
      </c>
      <c r="J726">
        <f>IF(A726="","",TEXT(A726,"mmm-yyyy"))</f>
        <v/>
      </c>
    </row>
    <row r="727">
      <c r="D727">
        <f>IFERROR(XLOOKUP(C727,'Vendor Master'!$A$6:$A$15,'Vendor Master'!$B$6:$B$15,""),"")</f>
        <v/>
      </c>
      <c r="J727">
        <f>IF(A727="","",TEXT(A727,"mmm-yyyy"))</f>
        <v/>
      </c>
    </row>
    <row r="728">
      <c r="D728">
        <f>IFERROR(XLOOKUP(C728,'Vendor Master'!$A$6:$A$15,'Vendor Master'!$B$6:$B$15,""),"")</f>
        <v/>
      </c>
      <c r="J728">
        <f>IF(A728="","",TEXT(A728,"mmm-yyyy"))</f>
        <v/>
      </c>
    </row>
    <row r="729">
      <c r="D729">
        <f>IFERROR(XLOOKUP(C729,'Vendor Master'!$A$6:$A$15,'Vendor Master'!$B$6:$B$15,""),"")</f>
        <v/>
      </c>
      <c r="J729">
        <f>IF(A729="","",TEXT(A729,"mmm-yyyy"))</f>
        <v/>
      </c>
    </row>
    <row r="730">
      <c r="D730">
        <f>IFERROR(XLOOKUP(C730,'Vendor Master'!$A$6:$A$15,'Vendor Master'!$B$6:$B$15,""),"")</f>
        <v/>
      </c>
      <c r="J730">
        <f>IF(A730="","",TEXT(A730,"mmm-yyyy"))</f>
        <v/>
      </c>
    </row>
    <row r="731">
      <c r="D731">
        <f>IFERROR(XLOOKUP(C731,'Vendor Master'!$A$6:$A$15,'Vendor Master'!$B$6:$B$15,""),"")</f>
        <v/>
      </c>
      <c r="J731">
        <f>IF(A731="","",TEXT(A731,"mmm-yyyy"))</f>
        <v/>
      </c>
    </row>
    <row r="732">
      <c r="D732">
        <f>IFERROR(XLOOKUP(C732,'Vendor Master'!$A$6:$A$15,'Vendor Master'!$B$6:$B$15,""),"")</f>
        <v/>
      </c>
      <c r="J732">
        <f>IF(A732="","",TEXT(A732,"mmm-yyyy"))</f>
        <v/>
      </c>
    </row>
    <row r="733">
      <c r="D733">
        <f>IFERROR(XLOOKUP(C733,'Vendor Master'!$A$6:$A$15,'Vendor Master'!$B$6:$B$15,""),"")</f>
        <v/>
      </c>
      <c r="J733">
        <f>IF(A733="","",TEXT(A733,"mmm-yyyy"))</f>
        <v/>
      </c>
    </row>
    <row r="734">
      <c r="D734">
        <f>IFERROR(XLOOKUP(C734,'Vendor Master'!$A$6:$A$15,'Vendor Master'!$B$6:$B$15,""),"")</f>
        <v/>
      </c>
      <c r="J734">
        <f>IF(A734="","",TEXT(A734,"mmm-yyyy"))</f>
        <v/>
      </c>
    </row>
    <row r="735">
      <c r="D735">
        <f>IFERROR(XLOOKUP(C735,'Vendor Master'!$A$6:$A$15,'Vendor Master'!$B$6:$B$15,""),"")</f>
        <v/>
      </c>
      <c r="J735">
        <f>IF(A735="","",TEXT(A735,"mmm-yyyy"))</f>
        <v/>
      </c>
    </row>
    <row r="736">
      <c r="D736">
        <f>IFERROR(XLOOKUP(C736,'Vendor Master'!$A$6:$A$15,'Vendor Master'!$B$6:$B$15,""),"")</f>
        <v/>
      </c>
      <c r="J736">
        <f>IF(A736="","",TEXT(A736,"mmm-yyyy"))</f>
        <v/>
      </c>
    </row>
    <row r="737">
      <c r="D737">
        <f>IFERROR(XLOOKUP(C737,'Vendor Master'!$A$6:$A$15,'Vendor Master'!$B$6:$B$15,""),"")</f>
        <v/>
      </c>
      <c r="J737">
        <f>IF(A737="","",TEXT(A737,"mmm-yyyy"))</f>
        <v/>
      </c>
    </row>
    <row r="738">
      <c r="D738">
        <f>IFERROR(XLOOKUP(C738,'Vendor Master'!$A$6:$A$15,'Vendor Master'!$B$6:$B$15,""),"")</f>
        <v/>
      </c>
      <c r="J738">
        <f>IF(A738="","",TEXT(A738,"mmm-yyyy"))</f>
        <v/>
      </c>
    </row>
    <row r="739">
      <c r="D739">
        <f>IFERROR(XLOOKUP(C739,'Vendor Master'!$A$6:$A$15,'Vendor Master'!$B$6:$B$15,""),"")</f>
        <v/>
      </c>
      <c r="J739">
        <f>IF(A739="","",TEXT(A739,"mmm-yyyy"))</f>
        <v/>
      </c>
    </row>
    <row r="740">
      <c r="D740">
        <f>IFERROR(XLOOKUP(C740,'Vendor Master'!$A$6:$A$15,'Vendor Master'!$B$6:$B$15,""),"")</f>
        <v/>
      </c>
      <c r="J740">
        <f>IF(A740="","",TEXT(A740,"mmm-yyyy"))</f>
        <v/>
      </c>
    </row>
    <row r="741">
      <c r="D741">
        <f>IFERROR(XLOOKUP(C741,'Vendor Master'!$A$6:$A$15,'Vendor Master'!$B$6:$B$15,""),"")</f>
        <v/>
      </c>
      <c r="J741">
        <f>IF(A741="","",TEXT(A741,"mmm-yyyy"))</f>
        <v/>
      </c>
    </row>
    <row r="742">
      <c r="D742">
        <f>IFERROR(XLOOKUP(C742,'Vendor Master'!$A$6:$A$15,'Vendor Master'!$B$6:$B$15,""),"")</f>
        <v/>
      </c>
      <c r="J742">
        <f>IF(A742="","",TEXT(A742,"mmm-yyyy"))</f>
        <v/>
      </c>
    </row>
    <row r="743">
      <c r="D743">
        <f>IFERROR(XLOOKUP(C743,'Vendor Master'!$A$6:$A$15,'Vendor Master'!$B$6:$B$15,""),"")</f>
        <v/>
      </c>
      <c r="J743">
        <f>IF(A743="","",TEXT(A743,"mmm-yyyy"))</f>
        <v/>
      </c>
    </row>
    <row r="744">
      <c r="D744">
        <f>IFERROR(XLOOKUP(C744,'Vendor Master'!$A$6:$A$15,'Vendor Master'!$B$6:$B$15,""),"")</f>
        <v/>
      </c>
      <c r="J744">
        <f>IF(A744="","",TEXT(A744,"mmm-yyyy"))</f>
        <v/>
      </c>
    </row>
    <row r="745">
      <c r="D745">
        <f>IFERROR(XLOOKUP(C745,'Vendor Master'!$A$6:$A$15,'Vendor Master'!$B$6:$B$15,""),"")</f>
        <v/>
      </c>
      <c r="J745">
        <f>IF(A745="","",TEXT(A745,"mmm-yyyy"))</f>
        <v/>
      </c>
    </row>
    <row r="746">
      <c r="D746">
        <f>IFERROR(XLOOKUP(C746,'Vendor Master'!$A$6:$A$15,'Vendor Master'!$B$6:$B$15,""),"")</f>
        <v/>
      </c>
      <c r="J746">
        <f>IF(A746="","",TEXT(A746,"mmm-yyyy"))</f>
        <v/>
      </c>
    </row>
    <row r="747">
      <c r="D747">
        <f>IFERROR(XLOOKUP(C747,'Vendor Master'!$A$6:$A$15,'Vendor Master'!$B$6:$B$15,""),"")</f>
        <v/>
      </c>
      <c r="J747">
        <f>IF(A747="","",TEXT(A747,"mmm-yyyy"))</f>
        <v/>
      </c>
    </row>
    <row r="748">
      <c r="D748">
        <f>IFERROR(XLOOKUP(C748,'Vendor Master'!$A$6:$A$15,'Vendor Master'!$B$6:$B$15,""),"")</f>
        <v/>
      </c>
      <c r="J748">
        <f>IF(A748="","",TEXT(A748,"mmm-yyyy"))</f>
        <v/>
      </c>
    </row>
    <row r="749">
      <c r="D749">
        <f>IFERROR(XLOOKUP(C749,'Vendor Master'!$A$6:$A$15,'Vendor Master'!$B$6:$B$15,""),"")</f>
        <v/>
      </c>
      <c r="J749">
        <f>IF(A749="","",TEXT(A749,"mmm-yyyy"))</f>
        <v/>
      </c>
    </row>
    <row r="750">
      <c r="D750">
        <f>IFERROR(XLOOKUP(C750,'Vendor Master'!$A$6:$A$15,'Vendor Master'!$B$6:$B$15,""),"")</f>
        <v/>
      </c>
      <c r="J750">
        <f>IF(A750="","",TEXT(A750,"mmm-yyyy"))</f>
        <v/>
      </c>
    </row>
    <row r="751">
      <c r="D751">
        <f>IFERROR(XLOOKUP(C751,'Vendor Master'!$A$6:$A$15,'Vendor Master'!$B$6:$B$15,""),"")</f>
        <v/>
      </c>
      <c r="J751">
        <f>IF(A751="","",TEXT(A751,"mmm-yyyy"))</f>
        <v/>
      </c>
    </row>
    <row r="752">
      <c r="D752">
        <f>IFERROR(XLOOKUP(C752,'Vendor Master'!$A$6:$A$15,'Vendor Master'!$B$6:$B$15,""),"")</f>
        <v/>
      </c>
      <c r="J752">
        <f>IF(A752="","",TEXT(A752,"mmm-yyyy"))</f>
        <v/>
      </c>
    </row>
    <row r="753">
      <c r="D753">
        <f>IFERROR(XLOOKUP(C753,'Vendor Master'!$A$6:$A$15,'Vendor Master'!$B$6:$B$15,""),"")</f>
        <v/>
      </c>
      <c r="J753">
        <f>IF(A753="","",TEXT(A753,"mmm-yyyy"))</f>
        <v/>
      </c>
    </row>
    <row r="754">
      <c r="D754">
        <f>IFERROR(XLOOKUP(C754,'Vendor Master'!$A$6:$A$15,'Vendor Master'!$B$6:$B$15,""),"")</f>
        <v/>
      </c>
      <c r="J754">
        <f>IF(A754="","",TEXT(A754,"mmm-yyyy"))</f>
        <v/>
      </c>
    </row>
    <row r="755">
      <c r="D755">
        <f>IFERROR(XLOOKUP(C755,'Vendor Master'!$A$6:$A$15,'Vendor Master'!$B$6:$B$15,""),"")</f>
        <v/>
      </c>
      <c r="J755">
        <f>IF(A755="","",TEXT(A755,"mmm-yyyy"))</f>
        <v/>
      </c>
    </row>
    <row r="756">
      <c r="D756">
        <f>IFERROR(XLOOKUP(C756,'Vendor Master'!$A$6:$A$15,'Vendor Master'!$B$6:$B$15,""),"")</f>
        <v/>
      </c>
      <c r="J756">
        <f>IF(A756="","",TEXT(A756,"mmm-yyyy"))</f>
        <v/>
      </c>
    </row>
    <row r="757">
      <c r="D757">
        <f>IFERROR(XLOOKUP(C757,'Vendor Master'!$A$6:$A$15,'Vendor Master'!$B$6:$B$15,""),"")</f>
        <v/>
      </c>
      <c r="J757">
        <f>IF(A757="","",TEXT(A757,"mmm-yyyy"))</f>
        <v/>
      </c>
    </row>
    <row r="758">
      <c r="D758">
        <f>IFERROR(XLOOKUP(C758,'Vendor Master'!$A$6:$A$15,'Vendor Master'!$B$6:$B$15,""),"")</f>
        <v/>
      </c>
      <c r="J758">
        <f>IF(A758="","",TEXT(A758,"mmm-yyyy"))</f>
        <v/>
      </c>
    </row>
    <row r="759">
      <c r="D759">
        <f>IFERROR(XLOOKUP(C759,'Vendor Master'!$A$6:$A$15,'Vendor Master'!$B$6:$B$15,""),"")</f>
        <v/>
      </c>
      <c r="J759">
        <f>IF(A759="","",TEXT(A759,"mmm-yyyy"))</f>
        <v/>
      </c>
    </row>
    <row r="760">
      <c r="D760">
        <f>IFERROR(XLOOKUP(C760,'Vendor Master'!$A$6:$A$15,'Vendor Master'!$B$6:$B$15,""),"")</f>
        <v/>
      </c>
      <c r="J760">
        <f>IF(A760="","",TEXT(A760,"mmm-yyyy"))</f>
        <v/>
      </c>
    </row>
    <row r="761">
      <c r="D761">
        <f>IFERROR(XLOOKUP(C761,'Vendor Master'!$A$6:$A$15,'Vendor Master'!$B$6:$B$15,""),"")</f>
        <v/>
      </c>
      <c r="J761">
        <f>IF(A761="","",TEXT(A761,"mmm-yyyy"))</f>
        <v/>
      </c>
    </row>
    <row r="762">
      <c r="D762">
        <f>IFERROR(XLOOKUP(C762,'Vendor Master'!$A$6:$A$15,'Vendor Master'!$B$6:$B$15,""),"")</f>
        <v/>
      </c>
      <c r="J762">
        <f>IF(A762="","",TEXT(A762,"mmm-yyyy"))</f>
        <v/>
      </c>
    </row>
    <row r="763">
      <c r="D763">
        <f>IFERROR(XLOOKUP(C763,'Vendor Master'!$A$6:$A$15,'Vendor Master'!$B$6:$B$15,""),"")</f>
        <v/>
      </c>
      <c r="J763">
        <f>IF(A763="","",TEXT(A763,"mmm-yyyy"))</f>
        <v/>
      </c>
    </row>
    <row r="764">
      <c r="D764">
        <f>IFERROR(XLOOKUP(C764,'Vendor Master'!$A$6:$A$15,'Vendor Master'!$B$6:$B$15,""),"")</f>
        <v/>
      </c>
      <c r="J764">
        <f>IF(A764="","",TEXT(A764,"mmm-yyyy"))</f>
        <v/>
      </c>
    </row>
    <row r="765">
      <c r="D765">
        <f>IFERROR(XLOOKUP(C765,'Vendor Master'!$A$6:$A$15,'Vendor Master'!$B$6:$B$15,""),"")</f>
        <v/>
      </c>
      <c r="J765">
        <f>IF(A765="","",TEXT(A765,"mmm-yyyy"))</f>
        <v/>
      </c>
    </row>
    <row r="766">
      <c r="D766">
        <f>IFERROR(XLOOKUP(C766,'Vendor Master'!$A$6:$A$15,'Vendor Master'!$B$6:$B$15,""),"")</f>
        <v/>
      </c>
      <c r="J766">
        <f>IF(A766="","",TEXT(A766,"mmm-yyyy"))</f>
        <v/>
      </c>
    </row>
    <row r="767">
      <c r="D767">
        <f>IFERROR(XLOOKUP(C767,'Vendor Master'!$A$6:$A$15,'Vendor Master'!$B$6:$B$15,""),"")</f>
        <v/>
      </c>
      <c r="J767">
        <f>IF(A767="","",TEXT(A767,"mmm-yyyy"))</f>
        <v/>
      </c>
    </row>
    <row r="768">
      <c r="D768">
        <f>IFERROR(XLOOKUP(C768,'Vendor Master'!$A$6:$A$15,'Vendor Master'!$B$6:$B$15,""),"")</f>
        <v/>
      </c>
      <c r="J768">
        <f>IF(A768="","",TEXT(A768,"mmm-yyyy"))</f>
        <v/>
      </c>
    </row>
    <row r="769">
      <c r="D769">
        <f>IFERROR(XLOOKUP(C769,'Vendor Master'!$A$6:$A$15,'Vendor Master'!$B$6:$B$15,""),"")</f>
        <v/>
      </c>
      <c r="J769">
        <f>IF(A769="","",TEXT(A769,"mmm-yyyy"))</f>
        <v/>
      </c>
    </row>
    <row r="770">
      <c r="D770">
        <f>IFERROR(XLOOKUP(C770,'Vendor Master'!$A$6:$A$15,'Vendor Master'!$B$6:$B$15,""),"")</f>
        <v/>
      </c>
      <c r="J770">
        <f>IF(A770="","",TEXT(A770,"mmm-yyyy"))</f>
        <v/>
      </c>
    </row>
    <row r="771">
      <c r="D771">
        <f>IFERROR(XLOOKUP(C771,'Vendor Master'!$A$6:$A$15,'Vendor Master'!$B$6:$B$15,""),"")</f>
        <v/>
      </c>
      <c r="J771">
        <f>IF(A771="","",TEXT(A771,"mmm-yyyy"))</f>
        <v/>
      </c>
    </row>
    <row r="772">
      <c r="D772">
        <f>IFERROR(XLOOKUP(C772,'Vendor Master'!$A$6:$A$15,'Vendor Master'!$B$6:$B$15,""),"")</f>
        <v/>
      </c>
      <c r="J772">
        <f>IF(A772="","",TEXT(A772,"mmm-yyyy"))</f>
        <v/>
      </c>
    </row>
    <row r="773">
      <c r="D773">
        <f>IFERROR(XLOOKUP(C773,'Vendor Master'!$A$6:$A$15,'Vendor Master'!$B$6:$B$15,""),"")</f>
        <v/>
      </c>
      <c r="J773">
        <f>IF(A773="","",TEXT(A773,"mmm-yyyy"))</f>
        <v/>
      </c>
    </row>
    <row r="774">
      <c r="D774">
        <f>IFERROR(XLOOKUP(C774,'Vendor Master'!$A$6:$A$15,'Vendor Master'!$B$6:$B$15,""),"")</f>
        <v/>
      </c>
      <c r="J774">
        <f>IF(A774="","",TEXT(A774,"mmm-yyyy"))</f>
        <v/>
      </c>
    </row>
    <row r="775">
      <c r="D775">
        <f>IFERROR(XLOOKUP(C775,'Vendor Master'!$A$6:$A$15,'Vendor Master'!$B$6:$B$15,""),"")</f>
        <v/>
      </c>
      <c r="J775">
        <f>IF(A775="","",TEXT(A775,"mmm-yyyy"))</f>
        <v/>
      </c>
    </row>
    <row r="776">
      <c r="D776">
        <f>IFERROR(XLOOKUP(C776,'Vendor Master'!$A$6:$A$15,'Vendor Master'!$B$6:$B$15,""),"")</f>
        <v/>
      </c>
      <c r="J776">
        <f>IF(A776="","",TEXT(A776,"mmm-yyyy"))</f>
        <v/>
      </c>
    </row>
    <row r="777">
      <c r="D777">
        <f>IFERROR(XLOOKUP(C777,'Vendor Master'!$A$6:$A$15,'Vendor Master'!$B$6:$B$15,""),"")</f>
        <v/>
      </c>
      <c r="J777">
        <f>IF(A777="","",TEXT(A777,"mmm-yyyy"))</f>
        <v/>
      </c>
    </row>
    <row r="778">
      <c r="D778">
        <f>IFERROR(XLOOKUP(C778,'Vendor Master'!$A$6:$A$15,'Vendor Master'!$B$6:$B$15,""),"")</f>
        <v/>
      </c>
      <c r="J778">
        <f>IF(A778="","",TEXT(A778,"mmm-yyyy"))</f>
        <v/>
      </c>
    </row>
    <row r="779">
      <c r="D779">
        <f>IFERROR(XLOOKUP(C779,'Vendor Master'!$A$6:$A$15,'Vendor Master'!$B$6:$B$15,""),"")</f>
        <v/>
      </c>
      <c r="J779">
        <f>IF(A779="","",TEXT(A779,"mmm-yyyy"))</f>
        <v/>
      </c>
    </row>
    <row r="780">
      <c r="D780">
        <f>IFERROR(XLOOKUP(C780,'Vendor Master'!$A$6:$A$15,'Vendor Master'!$B$6:$B$15,""),"")</f>
        <v/>
      </c>
      <c r="J780">
        <f>IF(A780="","",TEXT(A780,"mmm-yyyy"))</f>
        <v/>
      </c>
    </row>
    <row r="781">
      <c r="D781">
        <f>IFERROR(XLOOKUP(C781,'Vendor Master'!$A$6:$A$15,'Vendor Master'!$B$6:$B$15,""),"")</f>
        <v/>
      </c>
      <c r="J781">
        <f>IF(A781="","",TEXT(A781,"mmm-yyyy"))</f>
        <v/>
      </c>
    </row>
    <row r="782">
      <c r="D782">
        <f>IFERROR(XLOOKUP(C782,'Vendor Master'!$A$6:$A$15,'Vendor Master'!$B$6:$B$15,""),"")</f>
        <v/>
      </c>
      <c r="J782">
        <f>IF(A782="","",TEXT(A782,"mmm-yyyy"))</f>
        <v/>
      </c>
    </row>
    <row r="783">
      <c r="D783">
        <f>IFERROR(XLOOKUP(C783,'Vendor Master'!$A$6:$A$15,'Vendor Master'!$B$6:$B$15,""),"")</f>
        <v/>
      </c>
      <c r="J783">
        <f>IF(A783="","",TEXT(A783,"mmm-yyyy"))</f>
        <v/>
      </c>
    </row>
    <row r="784">
      <c r="D784">
        <f>IFERROR(XLOOKUP(C784,'Vendor Master'!$A$6:$A$15,'Vendor Master'!$B$6:$B$15,""),"")</f>
        <v/>
      </c>
      <c r="J784">
        <f>IF(A784="","",TEXT(A784,"mmm-yyyy"))</f>
        <v/>
      </c>
    </row>
    <row r="785">
      <c r="D785">
        <f>IFERROR(XLOOKUP(C785,'Vendor Master'!$A$6:$A$15,'Vendor Master'!$B$6:$B$15,""),"")</f>
        <v/>
      </c>
      <c r="J785">
        <f>IF(A785="","",TEXT(A785,"mmm-yyyy"))</f>
        <v/>
      </c>
    </row>
    <row r="786">
      <c r="D786">
        <f>IFERROR(XLOOKUP(C786,'Vendor Master'!$A$6:$A$15,'Vendor Master'!$B$6:$B$15,""),"")</f>
        <v/>
      </c>
      <c r="J786">
        <f>IF(A786="","",TEXT(A786,"mmm-yyyy"))</f>
        <v/>
      </c>
    </row>
    <row r="787">
      <c r="D787">
        <f>IFERROR(XLOOKUP(C787,'Vendor Master'!$A$6:$A$15,'Vendor Master'!$B$6:$B$15,""),"")</f>
        <v/>
      </c>
      <c r="J787">
        <f>IF(A787="","",TEXT(A787,"mmm-yyyy"))</f>
        <v/>
      </c>
    </row>
    <row r="788">
      <c r="D788">
        <f>IFERROR(XLOOKUP(C788,'Vendor Master'!$A$6:$A$15,'Vendor Master'!$B$6:$B$15,""),"")</f>
        <v/>
      </c>
      <c r="J788">
        <f>IF(A788="","",TEXT(A788,"mmm-yyyy"))</f>
        <v/>
      </c>
    </row>
    <row r="789">
      <c r="D789">
        <f>IFERROR(XLOOKUP(C789,'Vendor Master'!$A$6:$A$15,'Vendor Master'!$B$6:$B$15,""),"")</f>
        <v/>
      </c>
      <c r="J789">
        <f>IF(A789="","",TEXT(A789,"mmm-yyyy"))</f>
        <v/>
      </c>
    </row>
    <row r="790">
      <c r="D790">
        <f>IFERROR(XLOOKUP(C790,'Vendor Master'!$A$6:$A$15,'Vendor Master'!$B$6:$B$15,""),"")</f>
        <v/>
      </c>
      <c r="J790">
        <f>IF(A790="","",TEXT(A790,"mmm-yyyy"))</f>
        <v/>
      </c>
    </row>
    <row r="791">
      <c r="D791">
        <f>IFERROR(XLOOKUP(C791,'Vendor Master'!$A$6:$A$15,'Vendor Master'!$B$6:$B$15,""),"")</f>
        <v/>
      </c>
      <c r="J791">
        <f>IF(A791="","",TEXT(A791,"mmm-yyyy"))</f>
        <v/>
      </c>
    </row>
    <row r="792">
      <c r="D792">
        <f>IFERROR(XLOOKUP(C792,'Vendor Master'!$A$6:$A$15,'Vendor Master'!$B$6:$B$15,""),"")</f>
        <v/>
      </c>
      <c r="J792">
        <f>IF(A792="","",TEXT(A792,"mmm-yyyy"))</f>
        <v/>
      </c>
    </row>
    <row r="793">
      <c r="D793">
        <f>IFERROR(XLOOKUP(C793,'Vendor Master'!$A$6:$A$15,'Vendor Master'!$B$6:$B$15,""),"")</f>
        <v/>
      </c>
      <c r="J793">
        <f>IF(A793="","",TEXT(A793,"mmm-yyyy"))</f>
        <v/>
      </c>
    </row>
    <row r="794">
      <c r="D794">
        <f>IFERROR(XLOOKUP(C794,'Vendor Master'!$A$6:$A$15,'Vendor Master'!$B$6:$B$15,""),"")</f>
        <v/>
      </c>
      <c r="J794">
        <f>IF(A794="","",TEXT(A794,"mmm-yyyy"))</f>
        <v/>
      </c>
    </row>
    <row r="795">
      <c r="D795">
        <f>IFERROR(XLOOKUP(C795,'Vendor Master'!$A$6:$A$15,'Vendor Master'!$B$6:$B$15,""),"")</f>
        <v/>
      </c>
      <c r="J795">
        <f>IF(A795="","",TEXT(A795,"mmm-yyyy"))</f>
        <v/>
      </c>
    </row>
    <row r="796">
      <c r="D796">
        <f>IFERROR(XLOOKUP(C796,'Vendor Master'!$A$6:$A$15,'Vendor Master'!$B$6:$B$15,""),"")</f>
        <v/>
      </c>
      <c r="J796">
        <f>IF(A796="","",TEXT(A796,"mmm-yyyy"))</f>
        <v/>
      </c>
    </row>
    <row r="797">
      <c r="D797">
        <f>IFERROR(XLOOKUP(C797,'Vendor Master'!$A$6:$A$15,'Vendor Master'!$B$6:$B$15,""),"")</f>
        <v/>
      </c>
      <c r="J797">
        <f>IF(A797="","",TEXT(A797,"mmm-yyyy"))</f>
        <v/>
      </c>
    </row>
    <row r="798">
      <c r="D798">
        <f>IFERROR(XLOOKUP(C798,'Vendor Master'!$A$6:$A$15,'Vendor Master'!$B$6:$B$15,""),"")</f>
        <v/>
      </c>
      <c r="J798">
        <f>IF(A798="","",TEXT(A798,"mmm-yyyy"))</f>
        <v/>
      </c>
    </row>
    <row r="799">
      <c r="D799">
        <f>IFERROR(XLOOKUP(C799,'Vendor Master'!$A$6:$A$15,'Vendor Master'!$B$6:$B$15,""),"")</f>
        <v/>
      </c>
      <c r="J799">
        <f>IF(A799="","",TEXT(A799,"mmm-yyyy"))</f>
        <v/>
      </c>
    </row>
    <row r="800">
      <c r="D800">
        <f>IFERROR(XLOOKUP(C800,'Vendor Master'!$A$6:$A$15,'Vendor Master'!$B$6:$B$15,""),"")</f>
        <v/>
      </c>
      <c r="J800">
        <f>IF(A800="","",TEXT(A800,"mmm-yyyy"))</f>
        <v/>
      </c>
    </row>
    <row r="801">
      <c r="D801">
        <f>IFERROR(XLOOKUP(C801,'Vendor Master'!$A$6:$A$15,'Vendor Master'!$B$6:$B$15,""),"")</f>
        <v/>
      </c>
      <c r="J801">
        <f>IF(A801="","",TEXT(A801,"mmm-yyyy"))</f>
        <v/>
      </c>
    </row>
    <row r="802">
      <c r="D802">
        <f>IFERROR(XLOOKUP(C802,'Vendor Master'!$A$6:$A$15,'Vendor Master'!$B$6:$B$15,""),"")</f>
        <v/>
      </c>
      <c r="J802">
        <f>IF(A802="","",TEXT(A802,"mmm-yyyy"))</f>
        <v/>
      </c>
    </row>
    <row r="803">
      <c r="D803">
        <f>IFERROR(XLOOKUP(C803,'Vendor Master'!$A$6:$A$15,'Vendor Master'!$B$6:$B$15,""),"")</f>
        <v/>
      </c>
      <c r="J803">
        <f>IF(A803="","",TEXT(A803,"mmm-yyyy"))</f>
        <v/>
      </c>
    </row>
    <row r="804">
      <c r="D804">
        <f>IFERROR(XLOOKUP(C804,'Vendor Master'!$A$6:$A$15,'Vendor Master'!$B$6:$B$15,""),"")</f>
        <v/>
      </c>
      <c r="J804">
        <f>IF(A804="","",TEXT(A804,"mmm-yyyy"))</f>
        <v/>
      </c>
    </row>
    <row r="805">
      <c r="D805">
        <f>IFERROR(XLOOKUP(C805,'Vendor Master'!$A$6:$A$15,'Vendor Master'!$B$6:$B$15,""),"")</f>
        <v/>
      </c>
      <c r="J805">
        <f>IF(A805="","",TEXT(A805,"mmm-yyyy"))</f>
        <v/>
      </c>
    </row>
    <row r="806">
      <c r="D806">
        <f>IFERROR(XLOOKUP(C806,'Vendor Master'!$A$6:$A$15,'Vendor Master'!$B$6:$B$15,""),"")</f>
        <v/>
      </c>
      <c r="J806">
        <f>IF(A806="","",TEXT(A806,"mmm-yyyy"))</f>
        <v/>
      </c>
    </row>
    <row r="807">
      <c r="D807">
        <f>IFERROR(XLOOKUP(C807,'Vendor Master'!$A$6:$A$15,'Vendor Master'!$B$6:$B$15,""),"")</f>
        <v/>
      </c>
      <c r="J807">
        <f>IF(A807="","",TEXT(A807,"mmm-yyyy"))</f>
        <v/>
      </c>
    </row>
    <row r="808">
      <c r="D808">
        <f>IFERROR(XLOOKUP(C808,'Vendor Master'!$A$6:$A$15,'Vendor Master'!$B$6:$B$15,""),"")</f>
        <v/>
      </c>
      <c r="J808">
        <f>IF(A808="","",TEXT(A808,"mmm-yyyy"))</f>
        <v/>
      </c>
    </row>
    <row r="809">
      <c r="D809">
        <f>IFERROR(XLOOKUP(C809,'Vendor Master'!$A$6:$A$15,'Vendor Master'!$B$6:$B$15,""),"")</f>
        <v/>
      </c>
      <c r="J809">
        <f>IF(A809="","",TEXT(A809,"mmm-yyyy"))</f>
        <v/>
      </c>
    </row>
    <row r="810">
      <c r="D810">
        <f>IFERROR(XLOOKUP(C810,'Vendor Master'!$A$6:$A$15,'Vendor Master'!$B$6:$B$15,""),"")</f>
        <v/>
      </c>
      <c r="J810">
        <f>IF(A810="","",TEXT(A810,"mmm-yyyy"))</f>
        <v/>
      </c>
    </row>
    <row r="811">
      <c r="D811">
        <f>IFERROR(XLOOKUP(C811,'Vendor Master'!$A$6:$A$15,'Vendor Master'!$B$6:$B$15,""),"")</f>
        <v/>
      </c>
      <c r="J811">
        <f>IF(A811="","",TEXT(A811,"mmm-yyyy"))</f>
        <v/>
      </c>
    </row>
    <row r="812">
      <c r="D812">
        <f>IFERROR(XLOOKUP(C812,'Vendor Master'!$A$6:$A$15,'Vendor Master'!$B$6:$B$15,""),"")</f>
        <v/>
      </c>
      <c r="J812">
        <f>IF(A812="","",TEXT(A812,"mmm-yyyy"))</f>
        <v/>
      </c>
    </row>
    <row r="813">
      <c r="D813">
        <f>IFERROR(XLOOKUP(C813,'Vendor Master'!$A$6:$A$15,'Vendor Master'!$B$6:$B$15,""),"")</f>
        <v/>
      </c>
      <c r="J813">
        <f>IF(A813="","",TEXT(A813,"mmm-yyyy"))</f>
        <v/>
      </c>
    </row>
    <row r="814">
      <c r="D814">
        <f>IFERROR(XLOOKUP(C814,'Vendor Master'!$A$6:$A$15,'Vendor Master'!$B$6:$B$15,""),"")</f>
        <v/>
      </c>
      <c r="J814">
        <f>IF(A814="","",TEXT(A814,"mmm-yyyy"))</f>
        <v/>
      </c>
    </row>
    <row r="815">
      <c r="D815">
        <f>IFERROR(XLOOKUP(C815,'Vendor Master'!$A$6:$A$15,'Vendor Master'!$B$6:$B$15,""),"")</f>
        <v/>
      </c>
      <c r="J815">
        <f>IF(A815="","",TEXT(A815,"mmm-yyyy"))</f>
        <v/>
      </c>
    </row>
    <row r="816">
      <c r="D816">
        <f>IFERROR(XLOOKUP(C816,'Vendor Master'!$A$6:$A$15,'Vendor Master'!$B$6:$B$15,""),"")</f>
        <v/>
      </c>
      <c r="J816">
        <f>IF(A816="","",TEXT(A816,"mmm-yyyy"))</f>
        <v/>
      </c>
    </row>
    <row r="817">
      <c r="D817">
        <f>IFERROR(XLOOKUP(C817,'Vendor Master'!$A$6:$A$15,'Vendor Master'!$B$6:$B$15,""),"")</f>
        <v/>
      </c>
      <c r="J817">
        <f>IF(A817="","",TEXT(A817,"mmm-yyyy"))</f>
        <v/>
      </c>
    </row>
    <row r="818">
      <c r="D818">
        <f>IFERROR(XLOOKUP(C818,'Vendor Master'!$A$6:$A$15,'Vendor Master'!$B$6:$B$15,""),"")</f>
        <v/>
      </c>
      <c r="J818">
        <f>IF(A818="","",TEXT(A818,"mmm-yyyy"))</f>
        <v/>
      </c>
    </row>
    <row r="819">
      <c r="D819">
        <f>IFERROR(XLOOKUP(C819,'Vendor Master'!$A$6:$A$15,'Vendor Master'!$B$6:$B$15,""),"")</f>
        <v/>
      </c>
      <c r="J819">
        <f>IF(A819="","",TEXT(A819,"mmm-yyyy"))</f>
        <v/>
      </c>
    </row>
    <row r="820">
      <c r="D820">
        <f>IFERROR(XLOOKUP(C820,'Vendor Master'!$A$6:$A$15,'Vendor Master'!$B$6:$B$15,""),"")</f>
        <v/>
      </c>
      <c r="J820">
        <f>IF(A820="","",TEXT(A820,"mmm-yyyy"))</f>
        <v/>
      </c>
    </row>
    <row r="821">
      <c r="D821">
        <f>IFERROR(XLOOKUP(C821,'Vendor Master'!$A$6:$A$15,'Vendor Master'!$B$6:$B$15,""),"")</f>
        <v/>
      </c>
      <c r="J821">
        <f>IF(A821="","",TEXT(A821,"mmm-yyyy"))</f>
        <v/>
      </c>
    </row>
    <row r="822">
      <c r="D822">
        <f>IFERROR(XLOOKUP(C822,'Vendor Master'!$A$6:$A$15,'Vendor Master'!$B$6:$B$15,""),"")</f>
        <v/>
      </c>
      <c r="J822">
        <f>IF(A822="","",TEXT(A822,"mmm-yyyy"))</f>
        <v/>
      </c>
    </row>
    <row r="823">
      <c r="D823">
        <f>IFERROR(XLOOKUP(C823,'Vendor Master'!$A$6:$A$15,'Vendor Master'!$B$6:$B$15,""),"")</f>
        <v/>
      </c>
      <c r="J823">
        <f>IF(A823="","",TEXT(A823,"mmm-yyyy"))</f>
        <v/>
      </c>
    </row>
    <row r="824">
      <c r="D824">
        <f>IFERROR(XLOOKUP(C824,'Vendor Master'!$A$6:$A$15,'Vendor Master'!$B$6:$B$15,""),"")</f>
        <v/>
      </c>
      <c r="J824">
        <f>IF(A824="","",TEXT(A824,"mmm-yyyy"))</f>
        <v/>
      </c>
    </row>
    <row r="825">
      <c r="D825">
        <f>IFERROR(XLOOKUP(C825,'Vendor Master'!$A$6:$A$15,'Vendor Master'!$B$6:$B$15,""),"")</f>
        <v/>
      </c>
      <c r="J825">
        <f>IF(A825="","",TEXT(A825,"mmm-yyyy"))</f>
        <v/>
      </c>
    </row>
    <row r="826">
      <c r="D826">
        <f>IFERROR(XLOOKUP(C826,'Vendor Master'!$A$6:$A$15,'Vendor Master'!$B$6:$B$15,""),"")</f>
        <v/>
      </c>
      <c r="J826">
        <f>IF(A826="","",TEXT(A826,"mmm-yyyy"))</f>
        <v/>
      </c>
    </row>
    <row r="827">
      <c r="D827">
        <f>IFERROR(XLOOKUP(C827,'Vendor Master'!$A$6:$A$15,'Vendor Master'!$B$6:$B$15,""),"")</f>
        <v/>
      </c>
      <c r="J827">
        <f>IF(A827="","",TEXT(A827,"mmm-yyyy"))</f>
        <v/>
      </c>
    </row>
    <row r="828">
      <c r="D828">
        <f>IFERROR(XLOOKUP(C828,'Vendor Master'!$A$6:$A$15,'Vendor Master'!$B$6:$B$15,""),"")</f>
        <v/>
      </c>
      <c r="J828">
        <f>IF(A828="","",TEXT(A828,"mmm-yyyy"))</f>
        <v/>
      </c>
    </row>
    <row r="829">
      <c r="D829">
        <f>IFERROR(XLOOKUP(C829,'Vendor Master'!$A$6:$A$15,'Vendor Master'!$B$6:$B$15,""),"")</f>
        <v/>
      </c>
      <c r="J829">
        <f>IF(A829="","",TEXT(A829,"mmm-yyyy"))</f>
        <v/>
      </c>
    </row>
    <row r="830">
      <c r="D830">
        <f>IFERROR(XLOOKUP(C830,'Vendor Master'!$A$6:$A$15,'Vendor Master'!$B$6:$B$15,""),"")</f>
        <v/>
      </c>
      <c r="J830">
        <f>IF(A830="","",TEXT(A830,"mmm-yyyy"))</f>
        <v/>
      </c>
    </row>
    <row r="831">
      <c r="D831">
        <f>IFERROR(XLOOKUP(C831,'Vendor Master'!$A$6:$A$15,'Vendor Master'!$B$6:$B$15,""),"")</f>
        <v/>
      </c>
      <c r="J831">
        <f>IF(A831="","",TEXT(A831,"mmm-yyyy"))</f>
        <v/>
      </c>
    </row>
    <row r="832">
      <c r="D832">
        <f>IFERROR(XLOOKUP(C832,'Vendor Master'!$A$6:$A$15,'Vendor Master'!$B$6:$B$15,""),"")</f>
        <v/>
      </c>
      <c r="J832">
        <f>IF(A832="","",TEXT(A832,"mmm-yyyy"))</f>
        <v/>
      </c>
    </row>
    <row r="833">
      <c r="D833">
        <f>IFERROR(XLOOKUP(C833,'Vendor Master'!$A$6:$A$15,'Vendor Master'!$B$6:$B$15,""),"")</f>
        <v/>
      </c>
      <c r="J833">
        <f>IF(A833="","",TEXT(A833,"mmm-yyyy"))</f>
        <v/>
      </c>
    </row>
    <row r="834">
      <c r="D834">
        <f>IFERROR(XLOOKUP(C834,'Vendor Master'!$A$6:$A$15,'Vendor Master'!$B$6:$B$15,""),"")</f>
        <v/>
      </c>
      <c r="J834">
        <f>IF(A834="","",TEXT(A834,"mmm-yyyy"))</f>
        <v/>
      </c>
    </row>
    <row r="835">
      <c r="D835">
        <f>IFERROR(XLOOKUP(C835,'Vendor Master'!$A$6:$A$15,'Vendor Master'!$B$6:$B$15,""),"")</f>
        <v/>
      </c>
      <c r="J835">
        <f>IF(A835="","",TEXT(A835,"mmm-yyyy"))</f>
        <v/>
      </c>
    </row>
    <row r="836">
      <c r="D836">
        <f>IFERROR(XLOOKUP(C836,'Vendor Master'!$A$6:$A$15,'Vendor Master'!$B$6:$B$15,""),"")</f>
        <v/>
      </c>
      <c r="J836">
        <f>IF(A836="","",TEXT(A836,"mmm-yyyy"))</f>
        <v/>
      </c>
    </row>
    <row r="837">
      <c r="D837">
        <f>IFERROR(XLOOKUP(C837,'Vendor Master'!$A$6:$A$15,'Vendor Master'!$B$6:$B$15,""),"")</f>
        <v/>
      </c>
      <c r="J837">
        <f>IF(A837="","",TEXT(A837,"mmm-yyyy"))</f>
        <v/>
      </c>
    </row>
    <row r="838">
      <c r="D838">
        <f>IFERROR(XLOOKUP(C838,'Vendor Master'!$A$6:$A$15,'Vendor Master'!$B$6:$B$15,""),"")</f>
        <v/>
      </c>
      <c r="J838">
        <f>IF(A838="","",TEXT(A838,"mmm-yyyy"))</f>
        <v/>
      </c>
    </row>
    <row r="839">
      <c r="D839">
        <f>IFERROR(XLOOKUP(C839,'Vendor Master'!$A$6:$A$15,'Vendor Master'!$B$6:$B$15,""),"")</f>
        <v/>
      </c>
      <c r="J839">
        <f>IF(A839="","",TEXT(A839,"mmm-yyyy"))</f>
        <v/>
      </c>
    </row>
    <row r="840">
      <c r="D840">
        <f>IFERROR(XLOOKUP(C840,'Vendor Master'!$A$6:$A$15,'Vendor Master'!$B$6:$B$15,""),"")</f>
        <v/>
      </c>
      <c r="J840">
        <f>IF(A840="","",TEXT(A840,"mmm-yyyy"))</f>
        <v/>
      </c>
    </row>
    <row r="841">
      <c r="D841">
        <f>IFERROR(XLOOKUP(C841,'Vendor Master'!$A$6:$A$15,'Vendor Master'!$B$6:$B$15,""),"")</f>
        <v/>
      </c>
      <c r="J841">
        <f>IF(A841="","",TEXT(A841,"mmm-yyyy"))</f>
        <v/>
      </c>
    </row>
    <row r="842">
      <c r="D842">
        <f>IFERROR(XLOOKUP(C842,'Vendor Master'!$A$6:$A$15,'Vendor Master'!$B$6:$B$15,""),"")</f>
        <v/>
      </c>
      <c r="J842">
        <f>IF(A842="","",TEXT(A842,"mmm-yyyy"))</f>
        <v/>
      </c>
    </row>
    <row r="843">
      <c r="D843">
        <f>IFERROR(XLOOKUP(C843,'Vendor Master'!$A$6:$A$15,'Vendor Master'!$B$6:$B$15,""),"")</f>
        <v/>
      </c>
      <c r="J843">
        <f>IF(A843="","",TEXT(A843,"mmm-yyyy"))</f>
        <v/>
      </c>
    </row>
    <row r="844">
      <c r="D844">
        <f>IFERROR(XLOOKUP(C844,'Vendor Master'!$A$6:$A$15,'Vendor Master'!$B$6:$B$15,""),"")</f>
        <v/>
      </c>
      <c r="J844">
        <f>IF(A844="","",TEXT(A844,"mmm-yyyy"))</f>
        <v/>
      </c>
    </row>
    <row r="845">
      <c r="D845">
        <f>IFERROR(XLOOKUP(C845,'Vendor Master'!$A$6:$A$15,'Vendor Master'!$B$6:$B$15,""),"")</f>
        <v/>
      </c>
      <c r="J845">
        <f>IF(A845="","",TEXT(A845,"mmm-yyyy"))</f>
        <v/>
      </c>
    </row>
    <row r="846">
      <c r="D846">
        <f>IFERROR(XLOOKUP(C846,'Vendor Master'!$A$6:$A$15,'Vendor Master'!$B$6:$B$15,""),"")</f>
        <v/>
      </c>
      <c r="J846">
        <f>IF(A846="","",TEXT(A846,"mmm-yyyy"))</f>
        <v/>
      </c>
    </row>
    <row r="847">
      <c r="D847">
        <f>IFERROR(XLOOKUP(C847,'Vendor Master'!$A$6:$A$15,'Vendor Master'!$B$6:$B$15,""),"")</f>
        <v/>
      </c>
      <c r="J847">
        <f>IF(A847="","",TEXT(A847,"mmm-yyyy"))</f>
        <v/>
      </c>
    </row>
    <row r="848">
      <c r="D848">
        <f>IFERROR(XLOOKUP(C848,'Vendor Master'!$A$6:$A$15,'Vendor Master'!$B$6:$B$15,""),"")</f>
        <v/>
      </c>
      <c r="J848">
        <f>IF(A848="","",TEXT(A848,"mmm-yyyy"))</f>
        <v/>
      </c>
    </row>
    <row r="849">
      <c r="D849">
        <f>IFERROR(XLOOKUP(C849,'Vendor Master'!$A$6:$A$15,'Vendor Master'!$B$6:$B$15,""),"")</f>
        <v/>
      </c>
      <c r="J849">
        <f>IF(A849="","",TEXT(A849,"mmm-yyyy"))</f>
        <v/>
      </c>
    </row>
    <row r="850">
      <c r="D850">
        <f>IFERROR(XLOOKUP(C850,'Vendor Master'!$A$6:$A$15,'Vendor Master'!$B$6:$B$15,""),"")</f>
        <v/>
      </c>
      <c r="J850">
        <f>IF(A850="","",TEXT(A850,"mmm-yyyy"))</f>
        <v/>
      </c>
    </row>
    <row r="851">
      <c r="D851">
        <f>IFERROR(XLOOKUP(C851,'Vendor Master'!$A$6:$A$15,'Vendor Master'!$B$6:$B$15,""),"")</f>
        <v/>
      </c>
      <c r="J851">
        <f>IF(A851="","",TEXT(A851,"mmm-yyyy"))</f>
        <v/>
      </c>
    </row>
    <row r="852">
      <c r="D852">
        <f>IFERROR(XLOOKUP(C852,'Vendor Master'!$A$6:$A$15,'Vendor Master'!$B$6:$B$15,""),"")</f>
        <v/>
      </c>
      <c r="J852">
        <f>IF(A852="","",TEXT(A852,"mmm-yyyy"))</f>
        <v/>
      </c>
    </row>
    <row r="853">
      <c r="D853">
        <f>IFERROR(XLOOKUP(C853,'Vendor Master'!$A$6:$A$15,'Vendor Master'!$B$6:$B$15,""),"")</f>
        <v/>
      </c>
      <c r="J853">
        <f>IF(A853="","",TEXT(A853,"mmm-yyyy"))</f>
        <v/>
      </c>
    </row>
    <row r="854">
      <c r="D854">
        <f>IFERROR(XLOOKUP(C854,'Vendor Master'!$A$6:$A$15,'Vendor Master'!$B$6:$B$15,""),"")</f>
        <v/>
      </c>
      <c r="J854">
        <f>IF(A854="","",TEXT(A854,"mmm-yyyy"))</f>
        <v/>
      </c>
    </row>
    <row r="855">
      <c r="D855">
        <f>IFERROR(XLOOKUP(C855,'Vendor Master'!$A$6:$A$15,'Vendor Master'!$B$6:$B$15,""),"")</f>
        <v/>
      </c>
      <c r="J855">
        <f>IF(A855="","",TEXT(A855,"mmm-yyyy"))</f>
        <v/>
      </c>
    </row>
    <row r="856">
      <c r="D856">
        <f>IFERROR(XLOOKUP(C856,'Vendor Master'!$A$6:$A$15,'Vendor Master'!$B$6:$B$15,""),"")</f>
        <v/>
      </c>
      <c r="J856">
        <f>IF(A856="","",TEXT(A856,"mmm-yyyy"))</f>
        <v/>
      </c>
    </row>
    <row r="857">
      <c r="D857">
        <f>IFERROR(XLOOKUP(C857,'Vendor Master'!$A$6:$A$15,'Vendor Master'!$B$6:$B$15,""),"")</f>
        <v/>
      </c>
      <c r="J857">
        <f>IF(A857="","",TEXT(A857,"mmm-yyyy"))</f>
        <v/>
      </c>
    </row>
    <row r="858">
      <c r="D858">
        <f>IFERROR(XLOOKUP(C858,'Vendor Master'!$A$6:$A$15,'Vendor Master'!$B$6:$B$15,""),"")</f>
        <v/>
      </c>
      <c r="J858">
        <f>IF(A858="","",TEXT(A858,"mmm-yyyy"))</f>
        <v/>
      </c>
    </row>
    <row r="859">
      <c r="D859">
        <f>IFERROR(XLOOKUP(C859,'Vendor Master'!$A$6:$A$15,'Vendor Master'!$B$6:$B$15,""),"")</f>
        <v/>
      </c>
      <c r="J859">
        <f>IF(A859="","",TEXT(A859,"mmm-yyyy"))</f>
        <v/>
      </c>
    </row>
    <row r="860">
      <c r="D860">
        <f>IFERROR(XLOOKUP(C860,'Vendor Master'!$A$6:$A$15,'Vendor Master'!$B$6:$B$15,""),"")</f>
        <v/>
      </c>
      <c r="J860">
        <f>IF(A860="","",TEXT(A860,"mmm-yyyy"))</f>
        <v/>
      </c>
    </row>
    <row r="861">
      <c r="D861">
        <f>IFERROR(XLOOKUP(C861,'Vendor Master'!$A$6:$A$15,'Vendor Master'!$B$6:$B$15,""),"")</f>
        <v/>
      </c>
      <c r="J861">
        <f>IF(A861="","",TEXT(A861,"mmm-yyyy"))</f>
        <v/>
      </c>
    </row>
    <row r="862">
      <c r="D862">
        <f>IFERROR(XLOOKUP(C862,'Vendor Master'!$A$6:$A$15,'Vendor Master'!$B$6:$B$15,""),"")</f>
        <v/>
      </c>
      <c r="J862">
        <f>IF(A862="","",TEXT(A862,"mmm-yyyy"))</f>
        <v/>
      </c>
    </row>
    <row r="863">
      <c r="D863">
        <f>IFERROR(XLOOKUP(C863,'Vendor Master'!$A$6:$A$15,'Vendor Master'!$B$6:$B$15,""),"")</f>
        <v/>
      </c>
      <c r="J863">
        <f>IF(A863="","",TEXT(A863,"mmm-yyyy"))</f>
        <v/>
      </c>
    </row>
    <row r="864">
      <c r="D864">
        <f>IFERROR(XLOOKUP(C864,'Vendor Master'!$A$6:$A$15,'Vendor Master'!$B$6:$B$15,""),"")</f>
        <v/>
      </c>
      <c r="J864">
        <f>IF(A864="","",TEXT(A864,"mmm-yyyy"))</f>
        <v/>
      </c>
    </row>
    <row r="865">
      <c r="D865">
        <f>IFERROR(XLOOKUP(C865,'Vendor Master'!$A$6:$A$15,'Vendor Master'!$B$6:$B$15,""),"")</f>
        <v/>
      </c>
      <c r="J865">
        <f>IF(A865="","",TEXT(A865,"mmm-yyyy"))</f>
        <v/>
      </c>
    </row>
    <row r="866">
      <c r="D866">
        <f>IFERROR(XLOOKUP(C866,'Vendor Master'!$A$6:$A$15,'Vendor Master'!$B$6:$B$15,""),"")</f>
        <v/>
      </c>
      <c r="J866">
        <f>IF(A866="","",TEXT(A866,"mmm-yyyy"))</f>
        <v/>
      </c>
    </row>
    <row r="867">
      <c r="D867">
        <f>IFERROR(XLOOKUP(C867,'Vendor Master'!$A$6:$A$15,'Vendor Master'!$B$6:$B$15,""),"")</f>
        <v/>
      </c>
      <c r="J867">
        <f>IF(A867="","",TEXT(A867,"mmm-yyyy"))</f>
        <v/>
      </c>
    </row>
    <row r="868">
      <c r="D868">
        <f>IFERROR(XLOOKUP(C868,'Vendor Master'!$A$6:$A$15,'Vendor Master'!$B$6:$B$15,""),"")</f>
        <v/>
      </c>
      <c r="J868">
        <f>IF(A868="","",TEXT(A868,"mmm-yyyy"))</f>
        <v/>
      </c>
    </row>
    <row r="869">
      <c r="D869">
        <f>IFERROR(XLOOKUP(C869,'Vendor Master'!$A$6:$A$15,'Vendor Master'!$B$6:$B$15,""),"")</f>
        <v/>
      </c>
      <c r="J869">
        <f>IF(A869="","",TEXT(A869,"mmm-yyyy"))</f>
        <v/>
      </c>
    </row>
    <row r="870">
      <c r="D870">
        <f>IFERROR(XLOOKUP(C870,'Vendor Master'!$A$6:$A$15,'Vendor Master'!$B$6:$B$15,""),"")</f>
        <v/>
      </c>
      <c r="J870">
        <f>IF(A870="","",TEXT(A870,"mmm-yyyy"))</f>
        <v/>
      </c>
    </row>
    <row r="871">
      <c r="D871">
        <f>IFERROR(XLOOKUP(C871,'Vendor Master'!$A$6:$A$15,'Vendor Master'!$B$6:$B$15,""),"")</f>
        <v/>
      </c>
      <c r="J871">
        <f>IF(A871="","",TEXT(A871,"mmm-yyyy"))</f>
        <v/>
      </c>
    </row>
    <row r="872">
      <c r="D872">
        <f>IFERROR(XLOOKUP(C872,'Vendor Master'!$A$6:$A$15,'Vendor Master'!$B$6:$B$15,""),"")</f>
        <v/>
      </c>
      <c r="J872">
        <f>IF(A872="","",TEXT(A872,"mmm-yyyy"))</f>
        <v/>
      </c>
    </row>
    <row r="873">
      <c r="D873">
        <f>IFERROR(XLOOKUP(C873,'Vendor Master'!$A$6:$A$15,'Vendor Master'!$B$6:$B$15,""),"")</f>
        <v/>
      </c>
      <c r="J873">
        <f>IF(A873="","",TEXT(A873,"mmm-yyyy"))</f>
        <v/>
      </c>
    </row>
    <row r="874">
      <c r="D874">
        <f>IFERROR(XLOOKUP(C874,'Vendor Master'!$A$6:$A$15,'Vendor Master'!$B$6:$B$15,""),"")</f>
        <v/>
      </c>
      <c r="J874">
        <f>IF(A874="","",TEXT(A874,"mmm-yyyy"))</f>
        <v/>
      </c>
    </row>
    <row r="875">
      <c r="D875">
        <f>IFERROR(XLOOKUP(C875,'Vendor Master'!$A$6:$A$15,'Vendor Master'!$B$6:$B$15,""),"")</f>
        <v/>
      </c>
      <c r="J875">
        <f>IF(A875="","",TEXT(A875,"mmm-yyyy"))</f>
        <v/>
      </c>
    </row>
    <row r="876">
      <c r="D876">
        <f>IFERROR(XLOOKUP(C876,'Vendor Master'!$A$6:$A$15,'Vendor Master'!$B$6:$B$15,""),"")</f>
        <v/>
      </c>
      <c r="J876">
        <f>IF(A876="","",TEXT(A876,"mmm-yyyy"))</f>
        <v/>
      </c>
    </row>
    <row r="877">
      <c r="D877">
        <f>IFERROR(XLOOKUP(C877,'Vendor Master'!$A$6:$A$15,'Vendor Master'!$B$6:$B$15,""),"")</f>
        <v/>
      </c>
      <c r="J877">
        <f>IF(A877="","",TEXT(A877,"mmm-yyyy"))</f>
        <v/>
      </c>
    </row>
    <row r="878">
      <c r="D878">
        <f>IFERROR(XLOOKUP(C878,'Vendor Master'!$A$6:$A$15,'Vendor Master'!$B$6:$B$15,""),"")</f>
        <v/>
      </c>
      <c r="J878">
        <f>IF(A878="","",TEXT(A878,"mmm-yyyy"))</f>
        <v/>
      </c>
    </row>
    <row r="879">
      <c r="D879">
        <f>IFERROR(XLOOKUP(C879,'Vendor Master'!$A$6:$A$15,'Vendor Master'!$B$6:$B$15,""),"")</f>
        <v/>
      </c>
      <c r="J879">
        <f>IF(A879="","",TEXT(A879,"mmm-yyyy"))</f>
        <v/>
      </c>
    </row>
    <row r="880">
      <c r="D880">
        <f>IFERROR(XLOOKUP(C880,'Vendor Master'!$A$6:$A$15,'Vendor Master'!$B$6:$B$15,""),"")</f>
        <v/>
      </c>
      <c r="J880">
        <f>IF(A880="","",TEXT(A880,"mmm-yyyy"))</f>
        <v/>
      </c>
    </row>
    <row r="881">
      <c r="D881">
        <f>IFERROR(XLOOKUP(C881,'Vendor Master'!$A$6:$A$15,'Vendor Master'!$B$6:$B$15,""),"")</f>
        <v/>
      </c>
      <c r="J881">
        <f>IF(A881="","",TEXT(A881,"mmm-yyyy"))</f>
        <v/>
      </c>
    </row>
    <row r="882">
      <c r="D882">
        <f>IFERROR(XLOOKUP(C882,'Vendor Master'!$A$6:$A$15,'Vendor Master'!$B$6:$B$15,""),"")</f>
        <v/>
      </c>
      <c r="J882">
        <f>IF(A882="","",TEXT(A882,"mmm-yyyy"))</f>
        <v/>
      </c>
    </row>
    <row r="883">
      <c r="D883">
        <f>IFERROR(XLOOKUP(C883,'Vendor Master'!$A$6:$A$15,'Vendor Master'!$B$6:$B$15,""),"")</f>
        <v/>
      </c>
      <c r="J883">
        <f>IF(A883="","",TEXT(A883,"mmm-yyyy"))</f>
        <v/>
      </c>
    </row>
    <row r="884">
      <c r="D884">
        <f>IFERROR(XLOOKUP(C884,'Vendor Master'!$A$6:$A$15,'Vendor Master'!$B$6:$B$15,""),"")</f>
        <v/>
      </c>
      <c r="J884">
        <f>IF(A884="","",TEXT(A884,"mmm-yyyy"))</f>
        <v/>
      </c>
    </row>
    <row r="885">
      <c r="D885">
        <f>IFERROR(XLOOKUP(C885,'Vendor Master'!$A$6:$A$15,'Vendor Master'!$B$6:$B$15,""),"")</f>
        <v/>
      </c>
      <c r="J885">
        <f>IF(A885="","",TEXT(A885,"mmm-yyyy"))</f>
        <v/>
      </c>
    </row>
    <row r="886">
      <c r="D886">
        <f>IFERROR(XLOOKUP(C886,'Vendor Master'!$A$6:$A$15,'Vendor Master'!$B$6:$B$15,""),"")</f>
        <v/>
      </c>
      <c r="J886">
        <f>IF(A886="","",TEXT(A886,"mmm-yyyy"))</f>
        <v/>
      </c>
    </row>
    <row r="887">
      <c r="D887">
        <f>IFERROR(XLOOKUP(C887,'Vendor Master'!$A$6:$A$15,'Vendor Master'!$B$6:$B$15,""),"")</f>
        <v/>
      </c>
      <c r="J887">
        <f>IF(A887="","",TEXT(A887,"mmm-yyyy"))</f>
        <v/>
      </c>
    </row>
    <row r="888">
      <c r="D888">
        <f>IFERROR(XLOOKUP(C888,'Vendor Master'!$A$6:$A$15,'Vendor Master'!$B$6:$B$15,""),"")</f>
        <v/>
      </c>
      <c r="J888">
        <f>IF(A888="","",TEXT(A888,"mmm-yyyy"))</f>
        <v/>
      </c>
    </row>
    <row r="889">
      <c r="D889">
        <f>IFERROR(XLOOKUP(C889,'Vendor Master'!$A$6:$A$15,'Vendor Master'!$B$6:$B$15,""),"")</f>
        <v/>
      </c>
      <c r="J889">
        <f>IF(A889="","",TEXT(A889,"mmm-yyyy"))</f>
        <v/>
      </c>
    </row>
    <row r="890">
      <c r="D890">
        <f>IFERROR(XLOOKUP(C890,'Vendor Master'!$A$6:$A$15,'Vendor Master'!$B$6:$B$15,""),"")</f>
        <v/>
      </c>
      <c r="J890">
        <f>IF(A890="","",TEXT(A890,"mmm-yyyy"))</f>
        <v/>
      </c>
    </row>
    <row r="891">
      <c r="D891">
        <f>IFERROR(XLOOKUP(C891,'Vendor Master'!$A$6:$A$15,'Vendor Master'!$B$6:$B$15,""),"")</f>
        <v/>
      </c>
      <c r="J891">
        <f>IF(A891="","",TEXT(A891,"mmm-yyyy"))</f>
        <v/>
      </c>
    </row>
    <row r="892">
      <c r="D892">
        <f>IFERROR(XLOOKUP(C892,'Vendor Master'!$A$6:$A$15,'Vendor Master'!$B$6:$B$15,""),"")</f>
        <v/>
      </c>
      <c r="J892">
        <f>IF(A892="","",TEXT(A892,"mmm-yyyy"))</f>
        <v/>
      </c>
    </row>
    <row r="893">
      <c r="D893">
        <f>IFERROR(XLOOKUP(C893,'Vendor Master'!$A$6:$A$15,'Vendor Master'!$B$6:$B$15,""),"")</f>
        <v/>
      </c>
      <c r="J893">
        <f>IF(A893="","",TEXT(A893,"mmm-yyyy"))</f>
        <v/>
      </c>
    </row>
    <row r="894">
      <c r="D894">
        <f>IFERROR(XLOOKUP(C894,'Vendor Master'!$A$6:$A$15,'Vendor Master'!$B$6:$B$15,""),"")</f>
        <v/>
      </c>
      <c r="J894">
        <f>IF(A894="","",TEXT(A894,"mmm-yyyy"))</f>
        <v/>
      </c>
    </row>
    <row r="895">
      <c r="D895">
        <f>IFERROR(XLOOKUP(C895,'Vendor Master'!$A$6:$A$15,'Vendor Master'!$B$6:$B$15,""),"")</f>
        <v/>
      </c>
      <c r="J895">
        <f>IF(A895="","",TEXT(A895,"mmm-yyyy"))</f>
        <v/>
      </c>
    </row>
    <row r="896">
      <c r="D896">
        <f>IFERROR(XLOOKUP(C896,'Vendor Master'!$A$6:$A$15,'Vendor Master'!$B$6:$B$15,""),"")</f>
        <v/>
      </c>
      <c r="J896">
        <f>IF(A896="","",TEXT(A896,"mmm-yyyy"))</f>
        <v/>
      </c>
    </row>
    <row r="897">
      <c r="D897">
        <f>IFERROR(XLOOKUP(C897,'Vendor Master'!$A$6:$A$15,'Vendor Master'!$B$6:$B$15,""),"")</f>
        <v/>
      </c>
      <c r="J897">
        <f>IF(A897="","",TEXT(A897,"mmm-yyyy"))</f>
        <v/>
      </c>
    </row>
    <row r="898">
      <c r="D898">
        <f>IFERROR(XLOOKUP(C898,'Vendor Master'!$A$6:$A$15,'Vendor Master'!$B$6:$B$15,""),"")</f>
        <v/>
      </c>
      <c r="J898">
        <f>IF(A898="","",TEXT(A898,"mmm-yyyy"))</f>
        <v/>
      </c>
    </row>
    <row r="899">
      <c r="D899">
        <f>IFERROR(XLOOKUP(C899,'Vendor Master'!$A$6:$A$15,'Vendor Master'!$B$6:$B$15,""),"")</f>
        <v/>
      </c>
      <c r="J899">
        <f>IF(A899="","",TEXT(A899,"mmm-yyyy"))</f>
        <v/>
      </c>
    </row>
    <row r="900">
      <c r="D900">
        <f>IFERROR(XLOOKUP(C900,'Vendor Master'!$A$6:$A$15,'Vendor Master'!$B$6:$B$15,""),"")</f>
        <v/>
      </c>
      <c r="J900">
        <f>IF(A900="","",TEXT(A900,"mmm-yyyy"))</f>
        <v/>
      </c>
    </row>
    <row r="901">
      <c r="D901">
        <f>IFERROR(XLOOKUP(C901,'Vendor Master'!$A$6:$A$15,'Vendor Master'!$B$6:$B$15,""),"")</f>
        <v/>
      </c>
      <c r="J901">
        <f>IF(A901="","",TEXT(A901,"mmm-yyyy"))</f>
        <v/>
      </c>
    </row>
    <row r="902">
      <c r="D902">
        <f>IFERROR(XLOOKUP(C902,'Vendor Master'!$A$6:$A$15,'Vendor Master'!$B$6:$B$15,""),"")</f>
        <v/>
      </c>
      <c r="J902">
        <f>IF(A902="","",TEXT(A902,"mmm-yyyy"))</f>
        <v/>
      </c>
    </row>
    <row r="903">
      <c r="D903">
        <f>IFERROR(XLOOKUP(C903,'Vendor Master'!$A$6:$A$15,'Vendor Master'!$B$6:$B$15,""),"")</f>
        <v/>
      </c>
      <c r="J903">
        <f>IF(A903="","",TEXT(A903,"mmm-yyyy"))</f>
        <v/>
      </c>
    </row>
    <row r="904">
      <c r="D904">
        <f>IFERROR(XLOOKUP(C904,'Vendor Master'!$A$6:$A$15,'Vendor Master'!$B$6:$B$15,""),"")</f>
        <v/>
      </c>
      <c r="J904">
        <f>IF(A904="","",TEXT(A904,"mmm-yyyy"))</f>
        <v/>
      </c>
    </row>
    <row r="905">
      <c r="D905">
        <f>IFERROR(XLOOKUP(C905,'Vendor Master'!$A$6:$A$15,'Vendor Master'!$B$6:$B$15,""),"")</f>
        <v/>
      </c>
      <c r="J905">
        <f>IF(A905="","",TEXT(A905,"mmm-yyyy"))</f>
        <v/>
      </c>
    </row>
    <row r="906">
      <c r="D906">
        <f>IFERROR(XLOOKUP(C906,'Vendor Master'!$A$6:$A$15,'Vendor Master'!$B$6:$B$15,""),"")</f>
        <v/>
      </c>
      <c r="J906">
        <f>IF(A906="","",TEXT(A906,"mmm-yyyy"))</f>
        <v/>
      </c>
    </row>
    <row r="907">
      <c r="D907">
        <f>IFERROR(XLOOKUP(C907,'Vendor Master'!$A$6:$A$15,'Vendor Master'!$B$6:$B$15,""),"")</f>
        <v/>
      </c>
      <c r="J907">
        <f>IF(A907="","",TEXT(A907,"mmm-yyyy"))</f>
        <v/>
      </c>
    </row>
    <row r="908">
      <c r="D908">
        <f>IFERROR(XLOOKUP(C908,'Vendor Master'!$A$6:$A$15,'Vendor Master'!$B$6:$B$15,""),"")</f>
        <v/>
      </c>
      <c r="J908">
        <f>IF(A908="","",TEXT(A908,"mmm-yyyy"))</f>
        <v/>
      </c>
    </row>
    <row r="909">
      <c r="D909">
        <f>IFERROR(XLOOKUP(C909,'Vendor Master'!$A$6:$A$15,'Vendor Master'!$B$6:$B$15,""),"")</f>
        <v/>
      </c>
      <c r="J909">
        <f>IF(A909="","",TEXT(A909,"mmm-yyyy"))</f>
        <v/>
      </c>
    </row>
    <row r="910">
      <c r="D910">
        <f>IFERROR(XLOOKUP(C910,'Vendor Master'!$A$6:$A$15,'Vendor Master'!$B$6:$B$15,""),"")</f>
        <v/>
      </c>
      <c r="J910">
        <f>IF(A910="","",TEXT(A910,"mmm-yyyy"))</f>
        <v/>
      </c>
    </row>
    <row r="911">
      <c r="D911">
        <f>IFERROR(XLOOKUP(C911,'Vendor Master'!$A$6:$A$15,'Vendor Master'!$B$6:$B$15,""),"")</f>
        <v/>
      </c>
      <c r="J911">
        <f>IF(A911="","",TEXT(A911,"mmm-yyyy"))</f>
        <v/>
      </c>
    </row>
    <row r="912">
      <c r="D912">
        <f>IFERROR(XLOOKUP(C912,'Vendor Master'!$A$6:$A$15,'Vendor Master'!$B$6:$B$15,""),"")</f>
        <v/>
      </c>
      <c r="J912">
        <f>IF(A912="","",TEXT(A912,"mmm-yyyy"))</f>
        <v/>
      </c>
    </row>
    <row r="913">
      <c r="D913">
        <f>IFERROR(XLOOKUP(C913,'Vendor Master'!$A$6:$A$15,'Vendor Master'!$B$6:$B$15,""),"")</f>
        <v/>
      </c>
      <c r="J913">
        <f>IF(A913="","",TEXT(A913,"mmm-yyyy"))</f>
        <v/>
      </c>
    </row>
    <row r="914">
      <c r="D914">
        <f>IFERROR(XLOOKUP(C914,'Vendor Master'!$A$6:$A$15,'Vendor Master'!$B$6:$B$15,""),"")</f>
        <v/>
      </c>
      <c r="J914">
        <f>IF(A914="","",TEXT(A914,"mmm-yyyy"))</f>
        <v/>
      </c>
    </row>
    <row r="915">
      <c r="D915">
        <f>IFERROR(XLOOKUP(C915,'Vendor Master'!$A$6:$A$15,'Vendor Master'!$B$6:$B$15,""),"")</f>
        <v/>
      </c>
      <c r="J915">
        <f>IF(A915="","",TEXT(A915,"mmm-yyyy"))</f>
        <v/>
      </c>
    </row>
    <row r="916">
      <c r="D916">
        <f>IFERROR(XLOOKUP(C916,'Vendor Master'!$A$6:$A$15,'Vendor Master'!$B$6:$B$15,""),"")</f>
        <v/>
      </c>
      <c r="J916">
        <f>IF(A916="","",TEXT(A916,"mmm-yyyy"))</f>
        <v/>
      </c>
    </row>
    <row r="917">
      <c r="D917">
        <f>IFERROR(XLOOKUP(C917,'Vendor Master'!$A$6:$A$15,'Vendor Master'!$B$6:$B$15,""),"")</f>
        <v/>
      </c>
      <c r="J917">
        <f>IF(A917="","",TEXT(A917,"mmm-yyyy"))</f>
        <v/>
      </c>
    </row>
    <row r="918">
      <c r="D918">
        <f>IFERROR(XLOOKUP(C918,'Vendor Master'!$A$6:$A$15,'Vendor Master'!$B$6:$B$15,""),"")</f>
        <v/>
      </c>
      <c r="J918">
        <f>IF(A918="","",TEXT(A918,"mmm-yyyy"))</f>
        <v/>
      </c>
    </row>
    <row r="919">
      <c r="D919">
        <f>IFERROR(XLOOKUP(C919,'Vendor Master'!$A$6:$A$15,'Vendor Master'!$B$6:$B$15,""),"")</f>
        <v/>
      </c>
      <c r="J919">
        <f>IF(A919="","",TEXT(A919,"mmm-yyyy"))</f>
        <v/>
      </c>
    </row>
    <row r="920">
      <c r="D920">
        <f>IFERROR(XLOOKUP(C920,'Vendor Master'!$A$6:$A$15,'Vendor Master'!$B$6:$B$15,""),"")</f>
        <v/>
      </c>
      <c r="J920">
        <f>IF(A920="","",TEXT(A920,"mmm-yyyy"))</f>
        <v/>
      </c>
    </row>
    <row r="921">
      <c r="D921">
        <f>IFERROR(XLOOKUP(C921,'Vendor Master'!$A$6:$A$15,'Vendor Master'!$B$6:$B$15,""),"")</f>
        <v/>
      </c>
      <c r="J921">
        <f>IF(A921="","",TEXT(A921,"mmm-yyyy"))</f>
        <v/>
      </c>
    </row>
    <row r="922">
      <c r="D922">
        <f>IFERROR(XLOOKUP(C922,'Vendor Master'!$A$6:$A$15,'Vendor Master'!$B$6:$B$15,""),"")</f>
        <v/>
      </c>
      <c r="J922">
        <f>IF(A922="","",TEXT(A922,"mmm-yyyy"))</f>
        <v/>
      </c>
    </row>
    <row r="923">
      <c r="D923">
        <f>IFERROR(XLOOKUP(C923,'Vendor Master'!$A$6:$A$15,'Vendor Master'!$B$6:$B$15,""),"")</f>
        <v/>
      </c>
      <c r="J923">
        <f>IF(A923="","",TEXT(A923,"mmm-yyyy"))</f>
        <v/>
      </c>
    </row>
    <row r="924">
      <c r="D924">
        <f>IFERROR(XLOOKUP(C924,'Vendor Master'!$A$6:$A$15,'Vendor Master'!$B$6:$B$15,""),"")</f>
        <v/>
      </c>
      <c r="J924">
        <f>IF(A924="","",TEXT(A924,"mmm-yyyy"))</f>
        <v/>
      </c>
    </row>
    <row r="925">
      <c r="D925">
        <f>IFERROR(XLOOKUP(C925,'Vendor Master'!$A$6:$A$15,'Vendor Master'!$B$6:$B$15,""),"")</f>
        <v/>
      </c>
      <c r="J925">
        <f>IF(A925="","",TEXT(A925,"mmm-yyyy"))</f>
        <v/>
      </c>
    </row>
    <row r="926">
      <c r="D926">
        <f>IFERROR(XLOOKUP(C926,'Vendor Master'!$A$6:$A$15,'Vendor Master'!$B$6:$B$15,""),"")</f>
        <v/>
      </c>
      <c r="J926">
        <f>IF(A926="","",TEXT(A926,"mmm-yyyy"))</f>
        <v/>
      </c>
    </row>
    <row r="927">
      <c r="D927">
        <f>IFERROR(XLOOKUP(C927,'Vendor Master'!$A$6:$A$15,'Vendor Master'!$B$6:$B$15,""),"")</f>
        <v/>
      </c>
      <c r="J927">
        <f>IF(A927="","",TEXT(A927,"mmm-yyyy"))</f>
        <v/>
      </c>
    </row>
    <row r="928">
      <c r="D928">
        <f>IFERROR(XLOOKUP(C928,'Vendor Master'!$A$6:$A$15,'Vendor Master'!$B$6:$B$15,""),"")</f>
        <v/>
      </c>
      <c r="J928">
        <f>IF(A928="","",TEXT(A928,"mmm-yyyy"))</f>
        <v/>
      </c>
    </row>
    <row r="929">
      <c r="D929">
        <f>IFERROR(XLOOKUP(C929,'Vendor Master'!$A$6:$A$15,'Vendor Master'!$B$6:$B$15,""),"")</f>
        <v/>
      </c>
      <c r="J929">
        <f>IF(A929="","",TEXT(A929,"mmm-yyyy"))</f>
        <v/>
      </c>
    </row>
    <row r="930">
      <c r="D930">
        <f>IFERROR(XLOOKUP(C930,'Vendor Master'!$A$6:$A$15,'Vendor Master'!$B$6:$B$15,""),"")</f>
        <v/>
      </c>
      <c r="J930">
        <f>IF(A930="","",TEXT(A930,"mmm-yyyy"))</f>
        <v/>
      </c>
    </row>
    <row r="931">
      <c r="D931">
        <f>IFERROR(XLOOKUP(C931,'Vendor Master'!$A$6:$A$15,'Vendor Master'!$B$6:$B$15,""),"")</f>
        <v/>
      </c>
      <c r="J931">
        <f>IF(A931="","",TEXT(A931,"mmm-yyyy"))</f>
        <v/>
      </c>
    </row>
    <row r="932">
      <c r="D932">
        <f>IFERROR(XLOOKUP(C932,'Vendor Master'!$A$6:$A$15,'Vendor Master'!$B$6:$B$15,""),"")</f>
        <v/>
      </c>
      <c r="J932">
        <f>IF(A932="","",TEXT(A932,"mmm-yyyy"))</f>
        <v/>
      </c>
    </row>
    <row r="933">
      <c r="D933">
        <f>IFERROR(XLOOKUP(C933,'Vendor Master'!$A$6:$A$15,'Vendor Master'!$B$6:$B$15,""),"")</f>
        <v/>
      </c>
      <c r="J933">
        <f>IF(A933="","",TEXT(A933,"mmm-yyyy"))</f>
        <v/>
      </c>
    </row>
    <row r="934">
      <c r="D934">
        <f>IFERROR(XLOOKUP(C934,'Vendor Master'!$A$6:$A$15,'Vendor Master'!$B$6:$B$15,""),"")</f>
        <v/>
      </c>
      <c r="J934">
        <f>IF(A934="","",TEXT(A934,"mmm-yyyy"))</f>
        <v/>
      </c>
    </row>
    <row r="935">
      <c r="D935">
        <f>IFERROR(XLOOKUP(C935,'Vendor Master'!$A$6:$A$15,'Vendor Master'!$B$6:$B$15,""),"")</f>
        <v/>
      </c>
      <c r="J935">
        <f>IF(A935="","",TEXT(A935,"mmm-yyyy"))</f>
        <v/>
      </c>
    </row>
    <row r="936">
      <c r="D936">
        <f>IFERROR(XLOOKUP(C936,'Vendor Master'!$A$6:$A$15,'Vendor Master'!$B$6:$B$15,""),"")</f>
        <v/>
      </c>
      <c r="J936">
        <f>IF(A936="","",TEXT(A936,"mmm-yyyy"))</f>
        <v/>
      </c>
    </row>
    <row r="937">
      <c r="D937">
        <f>IFERROR(XLOOKUP(C937,'Vendor Master'!$A$6:$A$15,'Vendor Master'!$B$6:$B$15,""),"")</f>
        <v/>
      </c>
      <c r="J937">
        <f>IF(A937="","",TEXT(A937,"mmm-yyyy"))</f>
        <v/>
      </c>
    </row>
    <row r="938">
      <c r="D938">
        <f>IFERROR(XLOOKUP(C938,'Vendor Master'!$A$6:$A$15,'Vendor Master'!$B$6:$B$15,""),"")</f>
        <v/>
      </c>
      <c r="J938">
        <f>IF(A938="","",TEXT(A938,"mmm-yyyy"))</f>
        <v/>
      </c>
    </row>
    <row r="939">
      <c r="D939">
        <f>IFERROR(XLOOKUP(C939,'Vendor Master'!$A$6:$A$15,'Vendor Master'!$B$6:$B$15,""),"")</f>
        <v/>
      </c>
      <c r="J939">
        <f>IF(A939="","",TEXT(A939,"mmm-yyyy"))</f>
        <v/>
      </c>
    </row>
    <row r="940">
      <c r="D940">
        <f>IFERROR(XLOOKUP(C940,'Vendor Master'!$A$6:$A$15,'Vendor Master'!$B$6:$B$15,""),"")</f>
        <v/>
      </c>
      <c r="J940">
        <f>IF(A940="","",TEXT(A940,"mmm-yyyy"))</f>
        <v/>
      </c>
    </row>
    <row r="941">
      <c r="D941">
        <f>IFERROR(XLOOKUP(C941,'Vendor Master'!$A$6:$A$15,'Vendor Master'!$B$6:$B$15,""),"")</f>
        <v/>
      </c>
      <c r="J941">
        <f>IF(A941="","",TEXT(A941,"mmm-yyyy"))</f>
        <v/>
      </c>
    </row>
    <row r="942">
      <c r="D942">
        <f>IFERROR(XLOOKUP(C942,'Vendor Master'!$A$6:$A$15,'Vendor Master'!$B$6:$B$15,""),"")</f>
        <v/>
      </c>
      <c r="J942">
        <f>IF(A942="","",TEXT(A942,"mmm-yyyy"))</f>
        <v/>
      </c>
    </row>
    <row r="943">
      <c r="D943">
        <f>IFERROR(XLOOKUP(C943,'Vendor Master'!$A$6:$A$15,'Vendor Master'!$B$6:$B$15,""),"")</f>
        <v/>
      </c>
      <c r="J943">
        <f>IF(A943="","",TEXT(A943,"mmm-yyyy"))</f>
        <v/>
      </c>
    </row>
    <row r="944">
      <c r="D944">
        <f>IFERROR(XLOOKUP(C944,'Vendor Master'!$A$6:$A$15,'Vendor Master'!$B$6:$B$15,""),"")</f>
        <v/>
      </c>
      <c r="J944">
        <f>IF(A944="","",TEXT(A944,"mmm-yyyy"))</f>
        <v/>
      </c>
    </row>
    <row r="945">
      <c r="D945">
        <f>IFERROR(XLOOKUP(C945,'Vendor Master'!$A$6:$A$15,'Vendor Master'!$B$6:$B$15,""),"")</f>
        <v/>
      </c>
      <c r="J945">
        <f>IF(A945="","",TEXT(A945,"mmm-yyyy"))</f>
        <v/>
      </c>
    </row>
    <row r="946">
      <c r="D946">
        <f>IFERROR(XLOOKUP(C946,'Vendor Master'!$A$6:$A$15,'Vendor Master'!$B$6:$B$15,""),"")</f>
        <v/>
      </c>
      <c r="J946">
        <f>IF(A946="","",TEXT(A946,"mmm-yyyy"))</f>
        <v/>
      </c>
    </row>
    <row r="947">
      <c r="D947">
        <f>IFERROR(XLOOKUP(C947,'Vendor Master'!$A$6:$A$15,'Vendor Master'!$B$6:$B$15,""),"")</f>
        <v/>
      </c>
      <c r="J947">
        <f>IF(A947="","",TEXT(A947,"mmm-yyyy"))</f>
        <v/>
      </c>
    </row>
    <row r="948">
      <c r="D948">
        <f>IFERROR(XLOOKUP(C948,'Vendor Master'!$A$6:$A$15,'Vendor Master'!$B$6:$B$15,""),"")</f>
        <v/>
      </c>
      <c r="J948">
        <f>IF(A948="","",TEXT(A948,"mmm-yyyy"))</f>
        <v/>
      </c>
    </row>
    <row r="949">
      <c r="D949">
        <f>IFERROR(XLOOKUP(C949,'Vendor Master'!$A$6:$A$15,'Vendor Master'!$B$6:$B$15,""),"")</f>
        <v/>
      </c>
      <c r="J949">
        <f>IF(A949="","",TEXT(A949,"mmm-yyyy"))</f>
        <v/>
      </c>
    </row>
    <row r="950">
      <c r="D950">
        <f>IFERROR(XLOOKUP(C950,'Vendor Master'!$A$6:$A$15,'Vendor Master'!$B$6:$B$15,""),"")</f>
        <v/>
      </c>
      <c r="J950">
        <f>IF(A950="","",TEXT(A950,"mmm-yyyy"))</f>
        <v/>
      </c>
    </row>
    <row r="951">
      <c r="D951">
        <f>IFERROR(XLOOKUP(C951,'Vendor Master'!$A$6:$A$15,'Vendor Master'!$B$6:$B$15,""),"")</f>
        <v/>
      </c>
      <c r="J951">
        <f>IF(A951="","",TEXT(A951,"mmm-yyyy"))</f>
        <v/>
      </c>
    </row>
    <row r="952">
      <c r="D952">
        <f>IFERROR(XLOOKUP(C952,'Vendor Master'!$A$6:$A$15,'Vendor Master'!$B$6:$B$15,""),"")</f>
        <v/>
      </c>
      <c r="J952">
        <f>IF(A952="","",TEXT(A952,"mmm-yyyy"))</f>
        <v/>
      </c>
    </row>
    <row r="953">
      <c r="D953">
        <f>IFERROR(XLOOKUP(C953,'Vendor Master'!$A$6:$A$15,'Vendor Master'!$B$6:$B$15,""),"")</f>
        <v/>
      </c>
      <c r="J953">
        <f>IF(A953="","",TEXT(A953,"mmm-yyyy"))</f>
        <v/>
      </c>
    </row>
    <row r="954">
      <c r="D954">
        <f>IFERROR(XLOOKUP(C954,'Vendor Master'!$A$6:$A$15,'Vendor Master'!$B$6:$B$15,""),"")</f>
        <v/>
      </c>
      <c r="J954">
        <f>IF(A954="","",TEXT(A954,"mmm-yyyy"))</f>
        <v/>
      </c>
    </row>
    <row r="955">
      <c r="D955">
        <f>IFERROR(XLOOKUP(C955,'Vendor Master'!$A$6:$A$15,'Vendor Master'!$B$6:$B$15,""),"")</f>
        <v/>
      </c>
      <c r="J955">
        <f>IF(A955="","",TEXT(A955,"mmm-yyyy"))</f>
        <v/>
      </c>
    </row>
    <row r="956">
      <c r="D956">
        <f>IFERROR(XLOOKUP(C956,'Vendor Master'!$A$6:$A$15,'Vendor Master'!$B$6:$B$15,""),"")</f>
        <v/>
      </c>
      <c r="J956">
        <f>IF(A956="","",TEXT(A956,"mmm-yyyy"))</f>
        <v/>
      </c>
    </row>
    <row r="957">
      <c r="D957">
        <f>IFERROR(XLOOKUP(C957,'Vendor Master'!$A$6:$A$15,'Vendor Master'!$B$6:$B$15,""),"")</f>
        <v/>
      </c>
      <c r="J957">
        <f>IF(A957="","",TEXT(A957,"mmm-yyyy"))</f>
        <v/>
      </c>
    </row>
    <row r="958">
      <c r="D958">
        <f>IFERROR(XLOOKUP(C958,'Vendor Master'!$A$6:$A$15,'Vendor Master'!$B$6:$B$15,""),"")</f>
        <v/>
      </c>
      <c r="J958">
        <f>IF(A958="","",TEXT(A958,"mmm-yyyy"))</f>
        <v/>
      </c>
    </row>
    <row r="959">
      <c r="D959">
        <f>IFERROR(XLOOKUP(C959,'Vendor Master'!$A$6:$A$15,'Vendor Master'!$B$6:$B$15,""),"")</f>
        <v/>
      </c>
      <c r="J959">
        <f>IF(A959="","",TEXT(A959,"mmm-yyyy"))</f>
        <v/>
      </c>
    </row>
    <row r="960">
      <c r="D960">
        <f>IFERROR(XLOOKUP(C960,'Vendor Master'!$A$6:$A$15,'Vendor Master'!$B$6:$B$15,""),"")</f>
        <v/>
      </c>
      <c r="J960">
        <f>IF(A960="","",TEXT(A960,"mmm-yyyy"))</f>
        <v/>
      </c>
    </row>
    <row r="961">
      <c r="D961">
        <f>IFERROR(XLOOKUP(C961,'Vendor Master'!$A$6:$A$15,'Vendor Master'!$B$6:$B$15,""),"")</f>
        <v/>
      </c>
      <c r="J961">
        <f>IF(A961="","",TEXT(A961,"mmm-yyyy"))</f>
        <v/>
      </c>
    </row>
    <row r="962">
      <c r="D962">
        <f>IFERROR(XLOOKUP(C962,'Vendor Master'!$A$6:$A$15,'Vendor Master'!$B$6:$B$15,""),"")</f>
        <v/>
      </c>
      <c r="J962">
        <f>IF(A962="","",TEXT(A962,"mmm-yyyy"))</f>
        <v/>
      </c>
    </row>
    <row r="963">
      <c r="D963">
        <f>IFERROR(XLOOKUP(C963,'Vendor Master'!$A$6:$A$15,'Vendor Master'!$B$6:$B$15,""),"")</f>
        <v/>
      </c>
      <c r="J963">
        <f>IF(A963="","",TEXT(A963,"mmm-yyyy"))</f>
        <v/>
      </c>
    </row>
    <row r="964">
      <c r="D964">
        <f>IFERROR(XLOOKUP(C964,'Vendor Master'!$A$6:$A$15,'Vendor Master'!$B$6:$B$15,""),"")</f>
        <v/>
      </c>
      <c r="J964">
        <f>IF(A964="","",TEXT(A964,"mmm-yyyy"))</f>
        <v/>
      </c>
    </row>
    <row r="965">
      <c r="D965">
        <f>IFERROR(XLOOKUP(C965,'Vendor Master'!$A$6:$A$15,'Vendor Master'!$B$6:$B$15,""),"")</f>
        <v/>
      </c>
      <c r="J965">
        <f>IF(A965="","",TEXT(A965,"mmm-yyyy"))</f>
        <v/>
      </c>
    </row>
    <row r="966">
      <c r="D966">
        <f>IFERROR(XLOOKUP(C966,'Vendor Master'!$A$6:$A$15,'Vendor Master'!$B$6:$B$15,""),"")</f>
        <v/>
      </c>
      <c r="J966">
        <f>IF(A966="","",TEXT(A966,"mmm-yyyy"))</f>
        <v/>
      </c>
    </row>
    <row r="967">
      <c r="D967">
        <f>IFERROR(XLOOKUP(C967,'Vendor Master'!$A$6:$A$15,'Vendor Master'!$B$6:$B$15,""),"")</f>
        <v/>
      </c>
      <c r="J967">
        <f>IF(A967="","",TEXT(A967,"mmm-yyyy"))</f>
        <v/>
      </c>
    </row>
    <row r="968">
      <c r="D968">
        <f>IFERROR(XLOOKUP(C968,'Vendor Master'!$A$6:$A$15,'Vendor Master'!$B$6:$B$15,""),"")</f>
        <v/>
      </c>
      <c r="J968">
        <f>IF(A968="","",TEXT(A968,"mmm-yyyy"))</f>
        <v/>
      </c>
    </row>
    <row r="969">
      <c r="D969">
        <f>IFERROR(XLOOKUP(C969,'Vendor Master'!$A$6:$A$15,'Vendor Master'!$B$6:$B$15,""),"")</f>
        <v/>
      </c>
      <c r="J969">
        <f>IF(A969="","",TEXT(A969,"mmm-yyyy"))</f>
        <v/>
      </c>
    </row>
    <row r="970">
      <c r="D970">
        <f>IFERROR(XLOOKUP(C970,'Vendor Master'!$A$6:$A$15,'Vendor Master'!$B$6:$B$15,""),"")</f>
        <v/>
      </c>
      <c r="J970">
        <f>IF(A970="","",TEXT(A970,"mmm-yyyy"))</f>
        <v/>
      </c>
    </row>
    <row r="971">
      <c r="D971">
        <f>IFERROR(XLOOKUP(C971,'Vendor Master'!$A$6:$A$15,'Vendor Master'!$B$6:$B$15,""),"")</f>
        <v/>
      </c>
      <c r="J971">
        <f>IF(A971="","",TEXT(A971,"mmm-yyyy"))</f>
        <v/>
      </c>
    </row>
    <row r="972">
      <c r="D972">
        <f>IFERROR(XLOOKUP(C972,'Vendor Master'!$A$6:$A$15,'Vendor Master'!$B$6:$B$15,""),"")</f>
        <v/>
      </c>
      <c r="J972">
        <f>IF(A972="","",TEXT(A972,"mmm-yyyy"))</f>
        <v/>
      </c>
    </row>
    <row r="973">
      <c r="D973">
        <f>IFERROR(XLOOKUP(C973,'Vendor Master'!$A$6:$A$15,'Vendor Master'!$B$6:$B$15,""),"")</f>
        <v/>
      </c>
      <c r="J973">
        <f>IF(A973="","",TEXT(A973,"mmm-yyyy"))</f>
        <v/>
      </c>
    </row>
    <row r="974">
      <c r="D974">
        <f>IFERROR(XLOOKUP(C974,'Vendor Master'!$A$6:$A$15,'Vendor Master'!$B$6:$B$15,""),"")</f>
        <v/>
      </c>
      <c r="J974">
        <f>IF(A974="","",TEXT(A974,"mmm-yyyy"))</f>
        <v/>
      </c>
    </row>
    <row r="975">
      <c r="D975">
        <f>IFERROR(XLOOKUP(C975,'Vendor Master'!$A$6:$A$15,'Vendor Master'!$B$6:$B$15,""),"")</f>
        <v/>
      </c>
      <c r="J975">
        <f>IF(A975="","",TEXT(A975,"mmm-yyyy"))</f>
        <v/>
      </c>
    </row>
    <row r="976">
      <c r="D976">
        <f>IFERROR(XLOOKUP(C976,'Vendor Master'!$A$6:$A$15,'Vendor Master'!$B$6:$B$15,""),"")</f>
        <v/>
      </c>
      <c r="J976">
        <f>IF(A976="","",TEXT(A976,"mmm-yyyy"))</f>
        <v/>
      </c>
    </row>
    <row r="977">
      <c r="D977">
        <f>IFERROR(XLOOKUP(C977,'Vendor Master'!$A$6:$A$15,'Vendor Master'!$B$6:$B$15,""),"")</f>
        <v/>
      </c>
      <c r="J977">
        <f>IF(A977="","",TEXT(A977,"mmm-yyyy"))</f>
        <v/>
      </c>
    </row>
    <row r="978">
      <c r="D978">
        <f>IFERROR(XLOOKUP(C978,'Vendor Master'!$A$6:$A$15,'Vendor Master'!$B$6:$B$15,""),"")</f>
        <v/>
      </c>
      <c r="J978">
        <f>IF(A978="","",TEXT(A978,"mmm-yyyy"))</f>
        <v/>
      </c>
    </row>
    <row r="979">
      <c r="D979">
        <f>IFERROR(XLOOKUP(C979,'Vendor Master'!$A$6:$A$15,'Vendor Master'!$B$6:$B$15,""),"")</f>
        <v/>
      </c>
      <c r="J979">
        <f>IF(A979="","",TEXT(A979,"mmm-yyyy"))</f>
        <v/>
      </c>
    </row>
    <row r="980">
      <c r="D980">
        <f>IFERROR(XLOOKUP(C980,'Vendor Master'!$A$6:$A$15,'Vendor Master'!$B$6:$B$15,""),"")</f>
        <v/>
      </c>
      <c r="J980">
        <f>IF(A980="","",TEXT(A980,"mmm-yyyy"))</f>
        <v/>
      </c>
    </row>
    <row r="981">
      <c r="D981">
        <f>IFERROR(XLOOKUP(C981,'Vendor Master'!$A$6:$A$15,'Vendor Master'!$B$6:$B$15,""),"")</f>
        <v/>
      </c>
      <c r="J981">
        <f>IF(A981="","",TEXT(A981,"mmm-yyyy"))</f>
        <v/>
      </c>
    </row>
    <row r="982">
      <c r="D982">
        <f>IFERROR(XLOOKUP(C982,'Vendor Master'!$A$6:$A$15,'Vendor Master'!$B$6:$B$15,""),"")</f>
        <v/>
      </c>
      <c r="J982">
        <f>IF(A982="","",TEXT(A982,"mmm-yyyy"))</f>
        <v/>
      </c>
    </row>
    <row r="983">
      <c r="D983">
        <f>IFERROR(XLOOKUP(C983,'Vendor Master'!$A$6:$A$15,'Vendor Master'!$B$6:$B$15,""),"")</f>
        <v/>
      </c>
      <c r="J983">
        <f>IF(A983="","",TEXT(A983,"mmm-yyyy"))</f>
        <v/>
      </c>
    </row>
    <row r="984">
      <c r="D984">
        <f>IFERROR(XLOOKUP(C984,'Vendor Master'!$A$6:$A$15,'Vendor Master'!$B$6:$B$15,""),"")</f>
        <v/>
      </c>
      <c r="J984">
        <f>IF(A984="","",TEXT(A984,"mmm-yyyy"))</f>
        <v/>
      </c>
    </row>
    <row r="985">
      <c r="D985">
        <f>IFERROR(XLOOKUP(C985,'Vendor Master'!$A$6:$A$15,'Vendor Master'!$B$6:$B$15,""),"")</f>
        <v/>
      </c>
      <c r="J985">
        <f>IF(A985="","",TEXT(A985,"mmm-yyyy"))</f>
        <v/>
      </c>
    </row>
    <row r="986">
      <c r="D986">
        <f>IFERROR(XLOOKUP(C986,'Vendor Master'!$A$6:$A$15,'Vendor Master'!$B$6:$B$15,""),"")</f>
        <v/>
      </c>
      <c r="J986">
        <f>IF(A986="","",TEXT(A986,"mmm-yyyy"))</f>
        <v/>
      </c>
    </row>
    <row r="987">
      <c r="D987">
        <f>IFERROR(XLOOKUP(C987,'Vendor Master'!$A$6:$A$15,'Vendor Master'!$B$6:$B$15,""),"")</f>
        <v/>
      </c>
      <c r="J987">
        <f>IF(A987="","",TEXT(A987,"mmm-yyyy"))</f>
        <v/>
      </c>
    </row>
    <row r="988">
      <c r="D988">
        <f>IFERROR(XLOOKUP(C988,'Vendor Master'!$A$6:$A$15,'Vendor Master'!$B$6:$B$15,""),"")</f>
        <v/>
      </c>
      <c r="J988">
        <f>IF(A988="","",TEXT(A988,"mmm-yyyy"))</f>
        <v/>
      </c>
    </row>
    <row r="989">
      <c r="D989">
        <f>IFERROR(XLOOKUP(C989,'Vendor Master'!$A$6:$A$15,'Vendor Master'!$B$6:$B$15,""),"")</f>
        <v/>
      </c>
      <c r="J989">
        <f>IF(A989="","",TEXT(A989,"mmm-yyyy"))</f>
        <v/>
      </c>
    </row>
    <row r="990">
      <c r="D990">
        <f>IFERROR(XLOOKUP(C990,'Vendor Master'!$A$6:$A$15,'Vendor Master'!$B$6:$B$15,""),"")</f>
        <v/>
      </c>
      <c r="J990">
        <f>IF(A990="","",TEXT(A990,"mmm-yyyy"))</f>
        <v/>
      </c>
    </row>
    <row r="991">
      <c r="D991">
        <f>IFERROR(XLOOKUP(C991,'Vendor Master'!$A$6:$A$15,'Vendor Master'!$B$6:$B$15,""),"")</f>
        <v/>
      </c>
      <c r="J991">
        <f>IF(A991="","",TEXT(A991,"mmm-yyyy"))</f>
        <v/>
      </c>
    </row>
    <row r="992">
      <c r="D992">
        <f>IFERROR(XLOOKUP(C992,'Vendor Master'!$A$6:$A$15,'Vendor Master'!$B$6:$B$15,""),"")</f>
        <v/>
      </c>
      <c r="J992">
        <f>IF(A992="","",TEXT(A992,"mmm-yyyy"))</f>
        <v/>
      </c>
    </row>
    <row r="993">
      <c r="D993">
        <f>IFERROR(XLOOKUP(C993,'Vendor Master'!$A$6:$A$15,'Vendor Master'!$B$6:$B$15,""),"")</f>
        <v/>
      </c>
      <c r="J993">
        <f>IF(A993="","",TEXT(A993,"mmm-yyyy"))</f>
        <v/>
      </c>
    </row>
    <row r="994">
      <c r="D994">
        <f>IFERROR(XLOOKUP(C994,'Vendor Master'!$A$6:$A$15,'Vendor Master'!$B$6:$B$15,""),"")</f>
        <v/>
      </c>
      <c r="J994">
        <f>IF(A994="","",TEXT(A994,"mmm-yyyy"))</f>
        <v/>
      </c>
    </row>
    <row r="995">
      <c r="D995">
        <f>IFERROR(XLOOKUP(C995,'Vendor Master'!$A$6:$A$15,'Vendor Master'!$B$6:$B$15,""),"")</f>
        <v/>
      </c>
      <c r="J995">
        <f>IF(A995="","",TEXT(A995,"mmm-yyyy"))</f>
        <v/>
      </c>
    </row>
    <row r="996">
      <c r="D996">
        <f>IFERROR(XLOOKUP(C996,'Vendor Master'!$A$6:$A$15,'Vendor Master'!$B$6:$B$15,""),"")</f>
        <v/>
      </c>
      <c r="J996">
        <f>IF(A996="","",TEXT(A996,"mmm-yyyy"))</f>
        <v/>
      </c>
    </row>
    <row r="997">
      <c r="D997">
        <f>IFERROR(XLOOKUP(C997,'Vendor Master'!$A$6:$A$15,'Vendor Master'!$B$6:$B$15,""),"")</f>
        <v/>
      </c>
      <c r="J997">
        <f>IF(A997="","",TEXT(A997,"mmm-yyyy"))</f>
        <v/>
      </c>
    </row>
    <row r="998">
      <c r="D998">
        <f>IFERROR(XLOOKUP(C998,'Vendor Master'!$A$6:$A$15,'Vendor Master'!$B$6:$B$15,""),"")</f>
        <v/>
      </c>
      <c r="J998">
        <f>IF(A998="","",TEXT(A998,"mmm-yyyy"))</f>
        <v/>
      </c>
    </row>
    <row r="999">
      <c r="D999">
        <f>IFERROR(XLOOKUP(C999,'Vendor Master'!$A$6:$A$15,'Vendor Master'!$B$6:$B$15,""),"")</f>
        <v/>
      </c>
      <c r="J999">
        <f>IF(A999="","",TEXT(A999,"mmm-yyyy"))</f>
        <v/>
      </c>
    </row>
    <row r="1000">
      <c r="D1000">
        <f>IFERROR(XLOOKUP(C1000,'Vendor Master'!$A$6:$A$15,'Vendor Master'!$B$6:$B$15,""),"")</f>
        <v/>
      </c>
      <c r="J1000">
        <f>IF(A1000="","",TEXT(A1000,"mmm-yyyy"))</f>
        <v/>
      </c>
    </row>
    <row r="1001">
      <c r="D1001">
        <f>IFERROR(XLOOKUP(C1001,'Vendor Master'!$A$6:$A$15,'Vendor Master'!$B$6:$B$15,""),"")</f>
        <v/>
      </c>
      <c r="J1001">
        <f>IF(A1001="","",TEXT(A1001,"mmm-yyyy"))</f>
        <v/>
      </c>
    </row>
    <row r="1002">
      <c r="D1002">
        <f>IFERROR(XLOOKUP(C1002,'Vendor Master'!$A$6:$A$15,'Vendor Master'!$B$6:$B$15,""),"")</f>
        <v/>
      </c>
      <c r="J1002">
        <f>IF(A1002="","",TEXT(A1002,"mmm-yyyy"))</f>
        <v/>
      </c>
    </row>
    <row r="1003">
      <c r="D1003">
        <f>IFERROR(XLOOKUP(C1003,'Vendor Master'!$A$6:$A$15,'Vendor Master'!$B$6:$B$15,""),"")</f>
        <v/>
      </c>
      <c r="J1003">
        <f>IF(A1003="","",TEXT(A1003,"mmm-yyyy"))</f>
        <v/>
      </c>
    </row>
    <row r="1004">
      <c r="D1004">
        <f>IFERROR(XLOOKUP(C1004,'Vendor Master'!$A$6:$A$15,'Vendor Master'!$B$6:$B$15,""),"")</f>
        <v/>
      </c>
      <c r="J1004">
        <f>IF(A1004="","",TEXT(A1004,"mmm-yyyy"))</f>
        <v/>
      </c>
    </row>
    <row r="1005">
      <c r="D1005">
        <f>IFERROR(XLOOKUP(C1005,'Vendor Master'!$A$6:$A$15,'Vendor Master'!$B$6:$B$15,""),"")</f>
        <v/>
      </c>
      <c r="J1005">
        <f>IF(A1005="","",TEXT(A1005,"mmm-yyyy"))</f>
        <v/>
      </c>
    </row>
    <row r="1006">
      <c r="D1006">
        <f>IFERROR(XLOOKUP(C1006,'Vendor Master'!$A$6:$A$15,'Vendor Master'!$B$6:$B$15,""),"")</f>
        <v/>
      </c>
      <c r="J1006">
        <f>IF(A1006="","",TEXT(A1006,"mmm-yyyy"))</f>
        <v/>
      </c>
    </row>
    <row r="1007">
      <c r="D1007">
        <f>IFERROR(XLOOKUP(C1007,'Vendor Master'!$A$6:$A$15,'Vendor Master'!$B$6:$B$15,""),"")</f>
        <v/>
      </c>
      <c r="J1007">
        <f>IF(A1007="","",TEXT(A1007,"mmm-yyyy"))</f>
        <v/>
      </c>
    </row>
    <row r="1008">
      <c r="D1008">
        <f>IFERROR(XLOOKUP(C1008,'Vendor Master'!$A$6:$A$15,'Vendor Master'!$B$6:$B$15,""),"")</f>
        <v/>
      </c>
      <c r="J1008">
        <f>IF(A1008="","",TEXT(A1008,"mmm-yyyy"))</f>
        <v/>
      </c>
    </row>
    <row r="1009">
      <c r="D1009">
        <f>IFERROR(XLOOKUP(C1009,'Vendor Master'!$A$6:$A$15,'Vendor Master'!$B$6:$B$15,""),"")</f>
        <v/>
      </c>
      <c r="J1009">
        <f>IF(A1009="","",TEXT(A1009,"mmm-yyyy"))</f>
        <v/>
      </c>
    </row>
    <row r="1010">
      <c r="D1010">
        <f>IFERROR(XLOOKUP(C1010,'Vendor Master'!$A$6:$A$15,'Vendor Master'!$B$6:$B$15,""),"")</f>
        <v/>
      </c>
      <c r="J1010">
        <f>IF(A1010="","",TEXT(A1010,"mmm-yyyy"))</f>
        <v/>
      </c>
    </row>
    <row r="1011">
      <c r="D1011">
        <f>IFERROR(XLOOKUP(C1011,'Vendor Master'!$A$6:$A$15,'Vendor Master'!$B$6:$B$15,""),"")</f>
        <v/>
      </c>
      <c r="J1011">
        <f>IF(A1011="","",TEXT(A1011,"mmm-yyyy"))</f>
        <v/>
      </c>
    </row>
    <row r="1012">
      <c r="D1012">
        <f>IFERROR(XLOOKUP(C1012,'Vendor Master'!$A$6:$A$15,'Vendor Master'!$B$6:$B$15,""),"")</f>
        <v/>
      </c>
      <c r="J1012">
        <f>IF(A1012="","",TEXT(A1012,"mmm-yyyy"))</f>
        <v/>
      </c>
    </row>
    <row r="1013">
      <c r="D1013">
        <f>IFERROR(XLOOKUP(C1013,'Vendor Master'!$A$6:$A$15,'Vendor Master'!$B$6:$B$15,""),"")</f>
        <v/>
      </c>
      <c r="J1013">
        <f>IF(A1013="","",TEXT(A1013,"mmm-yyyy"))</f>
        <v/>
      </c>
    </row>
    <row r="1014">
      <c r="D1014">
        <f>IFERROR(XLOOKUP(C1014,'Vendor Master'!$A$6:$A$15,'Vendor Master'!$B$6:$B$15,""),"")</f>
        <v/>
      </c>
      <c r="J1014">
        <f>IF(A1014="","",TEXT(A1014,"mmm-yyyy"))</f>
        <v/>
      </c>
    </row>
    <row r="1015">
      <c r="D1015">
        <f>IFERROR(XLOOKUP(C1015,'Vendor Master'!$A$6:$A$15,'Vendor Master'!$B$6:$B$15,""),"")</f>
        <v/>
      </c>
      <c r="J1015">
        <f>IF(A1015="","",TEXT(A1015,"mmm-yyyy"))</f>
        <v/>
      </c>
    </row>
    <row r="1016">
      <c r="D1016">
        <f>IFERROR(XLOOKUP(C1016,'Vendor Master'!$A$6:$A$15,'Vendor Master'!$B$6:$B$15,""),"")</f>
        <v/>
      </c>
      <c r="J1016">
        <f>IF(A1016="","",TEXT(A1016,"mmm-yyyy"))</f>
        <v/>
      </c>
    </row>
    <row r="1017">
      <c r="D1017">
        <f>IFERROR(XLOOKUP(C1017,'Vendor Master'!$A$6:$A$15,'Vendor Master'!$B$6:$B$15,""),"")</f>
        <v/>
      </c>
      <c r="J1017">
        <f>IF(A1017="","",TEXT(A1017,"mmm-yyyy"))</f>
        <v/>
      </c>
    </row>
    <row r="1018">
      <c r="D1018">
        <f>IFERROR(XLOOKUP(C1018,'Vendor Master'!$A$6:$A$15,'Vendor Master'!$B$6:$B$15,""),"")</f>
        <v/>
      </c>
      <c r="J1018">
        <f>IF(A1018="","",TEXT(A1018,"mmm-yyyy"))</f>
        <v/>
      </c>
    </row>
    <row r="1019">
      <c r="D1019">
        <f>IFERROR(XLOOKUP(C1019,'Vendor Master'!$A$6:$A$15,'Vendor Master'!$B$6:$B$15,""),"")</f>
        <v/>
      </c>
      <c r="J1019">
        <f>IF(A1019="","",TEXT(A1019,"mmm-yyyy"))</f>
        <v/>
      </c>
    </row>
    <row r="1020">
      <c r="D1020">
        <f>IFERROR(XLOOKUP(C1020,'Vendor Master'!$A$6:$A$15,'Vendor Master'!$B$6:$B$15,""),"")</f>
        <v/>
      </c>
      <c r="J1020">
        <f>IF(A1020="","",TEXT(A1020,"mmm-yyyy"))</f>
        <v/>
      </c>
    </row>
    <row r="1021">
      <c r="D1021">
        <f>IFERROR(XLOOKUP(C1021,'Vendor Master'!$A$6:$A$15,'Vendor Master'!$B$6:$B$15,""),"")</f>
        <v/>
      </c>
      <c r="J1021">
        <f>IF(A1021="","",TEXT(A1021,"mmm-yyyy"))</f>
        <v/>
      </c>
    </row>
    <row r="1022">
      <c r="D1022">
        <f>IFERROR(XLOOKUP(C1022,'Vendor Master'!$A$6:$A$15,'Vendor Master'!$B$6:$B$15,""),"")</f>
        <v/>
      </c>
      <c r="J1022">
        <f>IF(A1022="","",TEXT(A1022,"mmm-yyyy"))</f>
        <v/>
      </c>
    </row>
    <row r="1023">
      <c r="D1023">
        <f>IFERROR(XLOOKUP(C1023,'Vendor Master'!$A$6:$A$15,'Vendor Master'!$B$6:$B$15,""),"")</f>
        <v/>
      </c>
      <c r="J1023">
        <f>IF(A1023="","",TEXT(A1023,"mmm-yyyy"))</f>
        <v/>
      </c>
    </row>
    <row r="1024">
      <c r="D1024">
        <f>IFERROR(XLOOKUP(C1024,'Vendor Master'!$A$6:$A$15,'Vendor Master'!$B$6:$B$15,""),"")</f>
        <v/>
      </c>
      <c r="J1024">
        <f>IF(A1024="","",TEXT(A1024,"mmm-yyyy"))</f>
        <v/>
      </c>
    </row>
    <row r="1025">
      <c r="D1025">
        <f>IFERROR(XLOOKUP(C1025,'Vendor Master'!$A$6:$A$15,'Vendor Master'!$B$6:$B$15,""),"")</f>
        <v/>
      </c>
      <c r="J1025">
        <f>IF(A1025="","",TEXT(A1025,"mmm-yyyy"))</f>
        <v/>
      </c>
    </row>
    <row r="1026">
      <c r="D1026">
        <f>IFERROR(XLOOKUP(C1026,'Vendor Master'!$A$6:$A$15,'Vendor Master'!$B$6:$B$15,""),"")</f>
        <v/>
      </c>
      <c r="J1026">
        <f>IF(A1026="","",TEXT(A1026,"mmm-yyyy"))</f>
        <v/>
      </c>
    </row>
    <row r="1027">
      <c r="D1027">
        <f>IFERROR(XLOOKUP(C1027,'Vendor Master'!$A$6:$A$15,'Vendor Master'!$B$6:$B$15,""),"")</f>
        <v/>
      </c>
      <c r="J1027">
        <f>IF(A1027="","",TEXT(A1027,"mmm-yyyy"))</f>
        <v/>
      </c>
    </row>
    <row r="1028">
      <c r="D1028">
        <f>IFERROR(XLOOKUP(C1028,'Vendor Master'!$A$6:$A$15,'Vendor Master'!$B$6:$B$15,""),"")</f>
        <v/>
      </c>
      <c r="J1028">
        <f>IF(A1028="","",TEXT(A1028,"mmm-yyyy"))</f>
        <v/>
      </c>
    </row>
    <row r="1029">
      <c r="D1029">
        <f>IFERROR(XLOOKUP(C1029,'Vendor Master'!$A$6:$A$15,'Vendor Master'!$B$6:$B$15,""),"")</f>
        <v/>
      </c>
      <c r="J1029">
        <f>IF(A1029="","",TEXT(A1029,"mmm-yyyy"))</f>
        <v/>
      </c>
    </row>
    <row r="1030">
      <c r="D1030">
        <f>IFERROR(XLOOKUP(C1030,'Vendor Master'!$A$6:$A$15,'Vendor Master'!$B$6:$B$15,""),"")</f>
        <v/>
      </c>
      <c r="J1030">
        <f>IF(A1030="","",TEXT(A1030,"mmm-yyyy"))</f>
        <v/>
      </c>
    </row>
    <row r="1031">
      <c r="D1031">
        <f>IFERROR(XLOOKUP(C1031,'Vendor Master'!$A$6:$A$15,'Vendor Master'!$B$6:$B$15,""),"")</f>
        <v/>
      </c>
      <c r="J1031">
        <f>IF(A1031="","",TEXT(A1031,"mmm-yyyy"))</f>
        <v/>
      </c>
    </row>
    <row r="1032">
      <c r="D1032">
        <f>IFERROR(XLOOKUP(C1032,'Vendor Master'!$A$6:$A$15,'Vendor Master'!$B$6:$B$15,""),"")</f>
        <v/>
      </c>
      <c r="J1032">
        <f>IF(A1032="","",TEXT(A1032,"mmm-yyyy"))</f>
        <v/>
      </c>
    </row>
    <row r="1033">
      <c r="D1033">
        <f>IFERROR(XLOOKUP(C1033,'Vendor Master'!$A$6:$A$15,'Vendor Master'!$B$6:$B$15,""),"")</f>
        <v/>
      </c>
      <c r="J1033">
        <f>IF(A1033="","",TEXT(A1033,"mmm-yyyy"))</f>
        <v/>
      </c>
    </row>
    <row r="1034">
      <c r="D1034">
        <f>IFERROR(XLOOKUP(C1034,'Vendor Master'!$A$6:$A$15,'Vendor Master'!$B$6:$B$15,""),"")</f>
        <v/>
      </c>
      <c r="J1034">
        <f>IF(A1034="","",TEXT(A1034,"mmm-yyyy"))</f>
        <v/>
      </c>
    </row>
    <row r="1035">
      <c r="D1035">
        <f>IFERROR(XLOOKUP(C1035,'Vendor Master'!$A$6:$A$15,'Vendor Master'!$B$6:$B$15,""),"")</f>
        <v/>
      </c>
      <c r="J1035">
        <f>IF(A1035="","",TEXT(A1035,"mmm-yyyy"))</f>
        <v/>
      </c>
    </row>
    <row r="1036">
      <c r="D1036">
        <f>IFERROR(XLOOKUP(C1036,'Vendor Master'!$A$6:$A$15,'Vendor Master'!$B$6:$B$15,""),"")</f>
        <v/>
      </c>
      <c r="J1036">
        <f>IF(A1036="","",TEXT(A1036,"mmm-yyyy"))</f>
        <v/>
      </c>
    </row>
    <row r="1037">
      <c r="D1037">
        <f>IFERROR(XLOOKUP(C1037,'Vendor Master'!$A$6:$A$15,'Vendor Master'!$B$6:$B$15,""),"")</f>
        <v/>
      </c>
      <c r="J1037">
        <f>IF(A1037="","",TEXT(A1037,"mmm-yyyy"))</f>
        <v/>
      </c>
    </row>
    <row r="1038">
      <c r="D1038">
        <f>IFERROR(XLOOKUP(C1038,'Vendor Master'!$A$6:$A$15,'Vendor Master'!$B$6:$B$15,""),"")</f>
        <v/>
      </c>
      <c r="J1038">
        <f>IF(A1038="","",TEXT(A1038,"mmm-yyyy"))</f>
        <v/>
      </c>
    </row>
    <row r="1039">
      <c r="D1039">
        <f>IFERROR(XLOOKUP(C1039,'Vendor Master'!$A$6:$A$15,'Vendor Master'!$B$6:$B$15,""),"")</f>
        <v/>
      </c>
      <c r="J1039">
        <f>IF(A1039="","",TEXT(A1039,"mmm-yyyy"))</f>
        <v/>
      </c>
    </row>
    <row r="1040">
      <c r="D1040">
        <f>IFERROR(XLOOKUP(C1040,'Vendor Master'!$A$6:$A$15,'Vendor Master'!$B$6:$B$15,""),"")</f>
        <v/>
      </c>
      <c r="J1040">
        <f>IF(A1040="","",TEXT(A1040,"mmm-yyyy"))</f>
        <v/>
      </c>
    </row>
    <row r="1041">
      <c r="D1041">
        <f>IFERROR(XLOOKUP(C1041,'Vendor Master'!$A$6:$A$15,'Vendor Master'!$B$6:$B$15,""),"")</f>
        <v/>
      </c>
      <c r="J1041">
        <f>IF(A1041="","",TEXT(A1041,"mmm-yyyy"))</f>
        <v/>
      </c>
    </row>
    <row r="1042">
      <c r="D1042">
        <f>IFERROR(XLOOKUP(C1042,'Vendor Master'!$A$6:$A$15,'Vendor Master'!$B$6:$B$15,""),"")</f>
        <v/>
      </c>
      <c r="J1042">
        <f>IF(A1042="","",TEXT(A1042,"mmm-yyyy"))</f>
        <v/>
      </c>
    </row>
    <row r="1043">
      <c r="D1043">
        <f>IFERROR(XLOOKUP(C1043,'Vendor Master'!$A$6:$A$15,'Vendor Master'!$B$6:$B$15,""),"")</f>
        <v/>
      </c>
      <c r="J1043">
        <f>IF(A1043="","",TEXT(A1043,"mmm-yyyy"))</f>
        <v/>
      </c>
    </row>
    <row r="1044">
      <c r="D1044">
        <f>IFERROR(XLOOKUP(C1044,'Vendor Master'!$A$6:$A$15,'Vendor Master'!$B$6:$B$15,""),"")</f>
        <v/>
      </c>
      <c r="J1044">
        <f>IF(A1044="","",TEXT(A1044,"mmm-yyyy"))</f>
        <v/>
      </c>
    </row>
    <row r="1045">
      <c r="D1045">
        <f>IFERROR(XLOOKUP(C1045,'Vendor Master'!$A$6:$A$15,'Vendor Master'!$B$6:$B$15,""),"")</f>
        <v/>
      </c>
      <c r="J1045">
        <f>IF(A1045="","",TEXT(A1045,"mmm-yyyy"))</f>
        <v/>
      </c>
    </row>
    <row r="1046">
      <c r="D1046">
        <f>IFERROR(XLOOKUP(C1046,'Vendor Master'!$A$6:$A$15,'Vendor Master'!$B$6:$B$15,""),"")</f>
        <v/>
      </c>
      <c r="J1046">
        <f>IF(A1046="","",TEXT(A1046,"mmm-yyyy"))</f>
        <v/>
      </c>
    </row>
    <row r="1047">
      <c r="D1047">
        <f>IFERROR(XLOOKUP(C1047,'Vendor Master'!$A$6:$A$15,'Vendor Master'!$B$6:$B$15,""),"")</f>
        <v/>
      </c>
      <c r="J1047">
        <f>IF(A1047="","",TEXT(A1047,"mmm-yyyy"))</f>
        <v/>
      </c>
    </row>
    <row r="1048">
      <c r="D1048">
        <f>IFERROR(XLOOKUP(C1048,'Vendor Master'!$A$6:$A$15,'Vendor Master'!$B$6:$B$15,""),"")</f>
        <v/>
      </c>
      <c r="J1048">
        <f>IF(A1048="","",TEXT(A1048,"mmm-yyyy"))</f>
        <v/>
      </c>
    </row>
    <row r="1049">
      <c r="D1049">
        <f>IFERROR(XLOOKUP(C1049,'Vendor Master'!$A$6:$A$15,'Vendor Master'!$B$6:$B$15,""),"")</f>
        <v/>
      </c>
      <c r="J1049">
        <f>IF(A1049="","",TEXT(A1049,"mmm-yyyy"))</f>
        <v/>
      </c>
    </row>
    <row r="1050">
      <c r="D1050">
        <f>IFERROR(XLOOKUP(C1050,'Vendor Master'!$A$6:$A$15,'Vendor Master'!$B$6:$B$15,""),"")</f>
        <v/>
      </c>
      <c r="J1050">
        <f>IF(A1050="","",TEXT(A1050,"mmm-yyyy"))</f>
        <v/>
      </c>
    </row>
    <row r="1051">
      <c r="D1051">
        <f>IFERROR(XLOOKUP(C1051,'Vendor Master'!$A$6:$A$15,'Vendor Master'!$B$6:$B$15,""),"")</f>
        <v/>
      </c>
      <c r="J1051">
        <f>IF(A1051="","",TEXT(A1051,"mmm-yyyy"))</f>
        <v/>
      </c>
    </row>
    <row r="1052">
      <c r="D1052">
        <f>IFERROR(XLOOKUP(C1052,'Vendor Master'!$A$6:$A$15,'Vendor Master'!$B$6:$B$15,""),"")</f>
        <v/>
      </c>
      <c r="J1052">
        <f>IF(A1052="","",TEXT(A1052,"mmm-yyyy"))</f>
        <v/>
      </c>
    </row>
    <row r="1053">
      <c r="D1053">
        <f>IFERROR(XLOOKUP(C1053,'Vendor Master'!$A$6:$A$15,'Vendor Master'!$B$6:$B$15,""),"")</f>
        <v/>
      </c>
      <c r="J1053">
        <f>IF(A1053="","",TEXT(A1053,"mmm-yyyy"))</f>
        <v/>
      </c>
    </row>
    <row r="1054">
      <c r="D1054">
        <f>IFERROR(XLOOKUP(C1054,'Vendor Master'!$A$6:$A$15,'Vendor Master'!$B$6:$B$15,""),"")</f>
        <v/>
      </c>
      <c r="J1054">
        <f>IF(A1054="","",TEXT(A1054,"mmm-yyyy"))</f>
        <v/>
      </c>
    </row>
    <row r="1055">
      <c r="D1055">
        <f>IFERROR(XLOOKUP(C1055,'Vendor Master'!$A$6:$A$15,'Vendor Master'!$B$6:$B$15,""),"")</f>
        <v/>
      </c>
      <c r="J1055">
        <f>IF(A1055="","",TEXT(A1055,"mmm-yyyy"))</f>
        <v/>
      </c>
    </row>
    <row r="1056">
      <c r="D1056">
        <f>IFERROR(XLOOKUP(C1056,'Vendor Master'!$A$6:$A$15,'Vendor Master'!$B$6:$B$15,""),"")</f>
        <v/>
      </c>
      <c r="J1056">
        <f>IF(A1056="","",TEXT(A1056,"mmm-yyyy"))</f>
        <v/>
      </c>
    </row>
    <row r="1057">
      <c r="D1057">
        <f>IFERROR(XLOOKUP(C1057,'Vendor Master'!$A$6:$A$15,'Vendor Master'!$B$6:$B$15,""),"")</f>
        <v/>
      </c>
      <c r="J1057">
        <f>IF(A1057="","",TEXT(A1057,"mmm-yyyy"))</f>
        <v/>
      </c>
    </row>
    <row r="1058">
      <c r="D1058">
        <f>IFERROR(XLOOKUP(C1058,'Vendor Master'!$A$6:$A$15,'Vendor Master'!$B$6:$B$15,""),"")</f>
        <v/>
      </c>
      <c r="J1058">
        <f>IF(A1058="","",TEXT(A1058,"mmm-yyyy"))</f>
        <v/>
      </c>
    </row>
    <row r="1059">
      <c r="D1059">
        <f>IFERROR(XLOOKUP(C1059,'Vendor Master'!$A$6:$A$15,'Vendor Master'!$B$6:$B$15,""),"")</f>
        <v/>
      </c>
      <c r="J1059">
        <f>IF(A1059="","",TEXT(A1059,"mmm-yyyy"))</f>
        <v/>
      </c>
    </row>
    <row r="1060">
      <c r="D1060">
        <f>IFERROR(XLOOKUP(C1060,'Vendor Master'!$A$6:$A$15,'Vendor Master'!$B$6:$B$15,""),"")</f>
        <v/>
      </c>
      <c r="J1060">
        <f>IF(A1060="","",TEXT(A1060,"mmm-yyyy"))</f>
        <v/>
      </c>
    </row>
    <row r="1061">
      <c r="D1061">
        <f>IFERROR(XLOOKUP(C1061,'Vendor Master'!$A$6:$A$15,'Vendor Master'!$B$6:$B$15,""),"")</f>
        <v/>
      </c>
      <c r="J1061">
        <f>IF(A1061="","",TEXT(A1061,"mmm-yyyy"))</f>
        <v/>
      </c>
    </row>
    <row r="1062">
      <c r="D1062">
        <f>IFERROR(XLOOKUP(C1062,'Vendor Master'!$A$6:$A$15,'Vendor Master'!$B$6:$B$15,""),"")</f>
        <v/>
      </c>
      <c r="J1062">
        <f>IF(A1062="","",TEXT(A1062,"mmm-yyyy"))</f>
        <v/>
      </c>
    </row>
    <row r="1063">
      <c r="D1063">
        <f>IFERROR(XLOOKUP(C1063,'Vendor Master'!$A$6:$A$15,'Vendor Master'!$B$6:$B$15,""),"")</f>
        <v/>
      </c>
      <c r="J1063">
        <f>IF(A1063="","",TEXT(A1063,"mmm-yyyy"))</f>
        <v/>
      </c>
    </row>
    <row r="1064">
      <c r="D1064">
        <f>IFERROR(XLOOKUP(C1064,'Vendor Master'!$A$6:$A$15,'Vendor Master'!$B$6:$B$15,""),"")</f>
        <v/>
      </c>
      <c r="J1064">
        <f>IF(A1064="","",TEXT(A1064,"mmm-yyyy"))</f>
        <v/>
      </c>
    </row>
    <row r="1065">
      <c r="D1065">
        <f>IFERROR(XLOOKUP(C1065,'Vendor Master'!$A$6:$A$15,'Vendor Master'!$B$6:$B$15,""),"")</f>
        <v/>
      </c>
      <c r="J1065">
        <f>IF(A1065="","",TEXT(A1065,"mmm-yyyy"))</f>
        <v/>
      </c>
    </row>
    <row r="1066">
      <c r="D1066">
        <f>IFERROR(XLOOKUP(C1066,'Vendor Master'!$A$6:$A$15,'Vendor Master'!$B$6:$B$15,""),"")</f>
        <v/>
      </c>
      <c r="J1066">
        <f>IF(A1066="","",TEXT(A1066,"mmm-yyyy"))</f>
        <v/>
      </c>
    </row>
    <row r="1067">
      <c r="D1067">
        <f>IFERROR(XLOOKUP(C1067,'Vendor Master'!$A$6:$A$15,'Vendor Master'!$B$6:$B$15,""),"")</f>
        <v/>
      </c>
      <c r="J1067">
        <f>IF(A1067="","",TEXT(A1067,"mmm-yyyy"))</f>
        <v/>
      </c>
    </row>
    <row r="1068">
      <c r="D1068">
        <f>IFERROR(XLOOKUP(C1068,'Vendor Master'!$A$6:$A$15,'Vendor Master'!$B$6:$B$15,""),"")</f>
        <v/>
      </c>
      <c r="J1068">
        <f>IF(A1068="","",TEXT(A1068,"mmm-yyyy"))</f>
        <v/>
      </c>
    </row>
    <row r="1069">
      <c r="D1069">
        <f>IFERROR(XLOOKUP(C1069,'Vendor Master'!$A$6:$A$15,'Vendor Master'!$B$6:$B$15,""),"")</f>
        <v/>
      </c>
      <c r="J1069">
        <f>IF(A1069="","",TEXT(A1069,"mmm-yyyy"))</f>
        <v/>
      </c>
    </row>
    <row r="1070">
      <c r="D1070">
        <f>IFERROR(XLOOKUP(C1070,'Vendor Master'!$A$6:$A$15,'Vendor Master'!$B$6:$B$15,""),"")</f>
        <v/>
      </c>
      <c r="J1070">
        <f>IF(A1070="","",TEXT(A1070,"mmm-yyyy"))</f>
        <v/>
      </c>
    </row>
    <row r="1071">
      <c r="D1071">
        <f>IFERROR(XLOOKUP(C1071,'Vendor Master'!$A$6:$A$15,'Vendor Master'!$B$6:$B$15,""),"")</f>
        <v/>
      </c>
      <c r="J1071">
        <f>IF(A1071="","",TEXT(A1071,"mmm-yyyy"))</f>
        <v/>
      </c>
    </row>
    <row r="1072">
      <c r="D1072">
        <f>IFERROR(XLOOKUP(C1072,'Vendor Master'!$A$6:$A$15,'Vendor Master'!$B$6:$B$15,""),"")</f>
        <v/>
      </c>
      <c r="J1072">
        <f>IF(A1072="","",TEXT(A1072,"mmm-yyyy"))</f>
        <v/>
      </c>
    </row>
    <row r="1073">
      <c r="D1073">
        <f>IFERROR(XLOOKUP(C1073,'Vendor Master'!$A$6:$A$15,'Vendor Master'!$B$6:$B$15,""),"")</f>
        <v/>
      </c>
      <c r="J1073">
        <f>IF(A1073="","",TEXT(A1073,"mmm-yyyy"))</f>
        <v/>
      </c>
    </row>
    <row r="1074">
      <c r="D1074">
        <f>IFERROR(XLOOKUP(C1074,'Vendor Master'!$A$6:$A$15,'Vendor Master'!$B$6:$B$15,""),"")</f>
        <v/>
      </c>
      <c r="J1074">
        <f>IF(A1074="","",TEXT(A1074,"mmm-yyyy"))</f>
        <v/>
      </c>
    </row>
    <row r="1075">
      <c r="D1075">
        <f>IFERROR(XLOOKUP(C1075,'Vendor Master'!$A$6:$A$15,'Vendor Master'!$B$6:$B$15,""),"")</f>
        <v/>
      </c>
      <c r="J1075">
        <f>IF(A1075="","",TEXT(A1075,"mmm-yyyy"))</f>
        <v/>
      </c>
    </row>
    <row r="1076">
      <c r="D1076">
        <f>IFERROR(XLOOKUP(C1076,'Vendor Master'!$A$6:$A$15,'Vendor Master'!$B$6:$B$15,""),"")</f>
        <v/>
      </c>
      <c r="J1076">
        <f>IF(A1076="","",TEXT(A1076,"mmm-yyyy"))</f>
        <v/>
      </c>
    </row>
    <row r="1077">
      <c r="D1077">
        <f>IFERROR(XLOOKUP(C1077,'Vendor Master'!$A$6:$A$15,'Vendor Master'!$B$6:$B$15,""),"")</f>
        <v/>
      </c>
      <c r="J1077">
        <f>IF(A1077="","",TEXT(A1077,"mmm-yyyy"))</f>
        <v/>
      </c>
    </row>
    <row r="1078">
      <c r="D1078">
        <f>IFERROR(XLOOKUP(C1078,'Vendor Master'!$A$6:$A$15,'Vendor Master'!$B$6:$B$15,""),"")</f>
        <v/>
      </c>
      <c r="J1078">
        <f>IF(A1078="","",TEXT(A1078,"mmm-yyyy"))</f>
        <v/>
      </c>
    </row>
    <row r="1079">
      <c r="D1079">
        <f>IFERROR(XLOOKUP(C1079,'Vendor Master'!$A$6:$A$15,'Vendor Master'!$B$6:$B$15,""),"")</f>
        <v/>
      </c>
      <c r="J1079">
        <f>IF(A1079="","",TEXT(A1079,"mmm-yyyy"))</f>
        <v/>
      </c>
    </row>
    <row r="1080">
      <c r="D1080">
        <f>IFERROR(XLOOKUP(C1080,'Vendor Master'!$A$6:$A$15,'Vendor Master'!$B$6:$B$15,""),"")</f>
        <v/>
      </c>
      <c r="J1080">
        <f>IF(A1080="","",TEXT(A1080,"mmm-yyyy"))</f>
        <v/>
      </c>
    </row>
    <row r="1081">
      <c r="D1081">
        <f>IFERROR(XLOOKUP(C1081,'Vendor Master'!$A$6:$A$15,'Vendor Master'!$B$6:$B$15,""),"")</f>
        <v/>
      </c>
      <c r="J1081">
        <f>IF(A1081="","",TEXT(A1081,"mmm-yyyy"))</f>
        <v/>
      </c>
    </row>
    <row r="1082">
      <c r="D1082">
        <f>IFERROR(XLOOKUP(C1082,'Vendor Master'!$A$6:$A$15,'Vendor Master'!$B$6:$B$15,""),"")</f>
        <v/>
      </c>
      <c r="J1082">
        <f>IF(A1082="","",TEXT(A1082,"mmm-yyyy"))</f>
        <v/>
      </c>
    </row>
    <row r="1083">
      <c r="D1083">
        <f>IFERROR(XLOOKUP(C1083,'Vendor Master'!$A$6:$A$15,'Vendor Master'!$B$6:$B$15,""),"")</f>
        <v/>
      </c>
      <c r="J1083">
        <f>IF(A1083="","",TEXT(A1083,"mmm-yyyy"))</f>
        <v/>
      </c>
    </row>
    <row r="1084">
      <c r="D1084">
        <f>IFERROR(XLOOKUP(C1084,'Vendor Master'!$A$6:$A$15,'Vendor Master'!$B$6:$B$15,""),"")</f>
        <v/>
      </c>
      <c r="J1084">
        <f>IF(A1084="","",TEXT(A1084,"mmm-yyyy"))</f>
        <v/>
      </c>
    </row>
    <row r="1085">
      <c r="D1085">
        <f>IFERROR(XLOOKUP(C1085,'Vendor Master'!$A$6:$A$15,'Vendor Master'!$B$6:$B$15,""),"")</f>
        <v/>
      </c>
      <c r="J1085">
        <f>IF(A1085="","",TEXT(A1085,"mmm-yyyy"))</f>
        <v/>
      </c>
    </row>
    <row r="1086">
      <c r="D1086">
        <f>IFERROR(XLOOKUP(C1086,'Vendor Master'!$A$6:$A$15,'Vendor Master'!$B$6:$B$15,""),"")</f>
        <v/>
      </c>
      <c r="J1086">
        <f>IF(A1086="","",TEXT(A1086,"mmm-yyyy"))</f>
        <v/>
      </c>
    </row>
    <row r="1087">
      <c r="D1087">
        <f>IFERROR(XLOOKUP(C1087,'Vendor Master'!$A$6:$A$15,'Vendor Master'!$B$6:$B$15,""),"")</f>
        <v/>
      </c>
      <c r="J1087">
        <f>IF(A1087="","",TEXT(A1087,"mmm-yyyy"))</f>
        <v/>
      </c>
    </row>
    <row r="1088">
      <c r="D1088">
        <f>IFERROR(XLOOKUP(C1088,'Vendor Master'!$A$6:$A$15,'Vendor Master'!$B$6:$B$15,""),"")</f>
        <v/>
      </c>
      <c r="J1088">
        <f>IF(A1088="","",TEXT(A1088,"mmm-yyyy"))</f>
        <v/>
      </c>
    </row>
    <row r="1089">
      <c r="D1089">
        <f>IFERROR(XLOOKUP(C1089,'Vendor Master'!$A$6:$A$15,'Vendor Master'!$B$6:$B$15,""),"")</f>
        <v/>
      </c>
      <c r="J1089">
        <f>IF(A1089="","",TEXT(A1089,"mmm-yyyy"))</f>
        <v/>
      </c>
    </row>
    <row r="1090">
      <c r="D1090">
        <f>IFERROR(XLOOKUP(C1090,'Vendor Master'!$A$6:$A$15,'Vendor Master'!$B$6:$B$15,""),"")</f>
        <v/>
      </c>
      <c r="J1090">
        <f>IF(A1090="","",TEXT(A1090,"mmm-yyyy"))</f>
        <v/>
      </c>
    </row>
    <row r="1091">
      <c r="D1091">
        <f>IFERROR(XLOOKUP(C1091,'Vendor Master'!$A$6:$A$15,'Vendor Master'!$B$6:$B$15,""),"")</f>
        <v/>
      </c>
      <c r="J1091">
        <f>IF(A1091="","",TEXT(A1091,"mmm-yyyy"))</f>
        <v/>
      </c>
    </row>
    <row r="1092">
      <c r="D1092">
        <f>IFERROR(XLOOKUP(C1092,'Vendor Master'!$A$6:$A$15,'Vendor Master'!$B$6:$B$15,""),"")</f>
        <v/>
      </c>
      <c r="J1092">
        <f>IF(A1092="","",TEXT(A1092,"mmm-yyyy"))</f>
        <v/>
      </c>
    </row>
    <row r="1093">
      <c r="D1093">
        <f>IFERROR(XLOOKUP(C1093,'Vendor Master'!$A$6:$A$15,'Vendor Master'!$B$6:$B$15,""),"")</f>
        <v/>
      </c>
      <c r="J1093">
        <f>IF(A1093="","",TEXT(A1093,"mmm-yyyy"))</f>
        <v/>
      </c>
    </row>
    <row r="1094">
      <c r="D1094">
        <f>IFERROR(XLOOKUP(C1094,'Vendor Master'!$A$6:$A$15,'Vendor Master'!$B$6:$B$15,""),"")</f>
        <v/>
      </c>
      <c r="J1094">
        <f>IF(A1094="","",TEXT(A1094,"mmm-yyyy"))</f>
        <v/>
      </c>
    </row>
    <row r="1095">
      <c r="D1095">
        <f>IFERROR(XLOOKUP(C1095,'Vendor Master'!$A$6:$A$15,'Vendor Master'!$B$6:$B$15,""),"")</f>
        <v/>
      </c>
      <c r="J1095">
        <f>IF(A1095="","",TEXT(A1095,"mmm-yyyy"))</f>
        <v/>
      </c>
    </row>
    <row r="1096">
      <c r="D1096">
        <f>IFERROR(XLOOKUP(C1096,'Vendor Master'!$A$6:$A$15,'Vendor Master'!$B$6:$B$15,""),"")</f>
        <v/>
      </c>
      <c r="J1096">
        <f>IF(A1096="","",TEXT(A1096,"mmm-yyyy"))</f>
        <v/>
      </c>
    </row>
    <row r="1097">
      <c r="D1097">
        <f>IFERROR(XLOOKUP(C1097,'Vendor Master'!$A$6:$A$15,'Vendor Master'!$B$6:$B$15,""),"")</f>
        <v/>
      </c>
      <c r="J1097">
        <f>IF(A1097="","",TEXT(A1097,"mmm-yyyy"))</f>
        <v/>
      </c>
    </row>
    <row r="1098">
      <c r="D1098">
        <f>IFERROR(XLOOKUP(C1098,'Vendor Master'!$A$6:$A$15,'Vendor Master'!$B$6:$B$15,""),"")</f>
        <v/>
      </c>
      <c r="J1098">
        <f>IF(A1098="","",TEXT(A1098,"mmm-yyyy"))</f>
        <v/>
      </c>
    </row>
    <row r="1099">
      <c r="D1099">
        <f>IFERROR(XLOOKUP(C1099,'Vendor Master'!$A$6:$A$15,'Vendor Master'!$B$6:$B$15,""),"")</f>
        <v/>
      </c>
      <c r="J1099">
        <f>IF(A1099="","",TEXT(A1099,"mmm-yyyy"))</f>
        <v/>
      </c>
    </row>
    <row r="1100">
      <c r="D1100">
        <f>IFERROR(XLOOKUP(C1100,'Vendor Master'!$A$6:$A$15,'Vendor Master'!$B$6:$B$15,""),"")</f>
        <v/>
      </c>
      <c r="J1100">
        <f>IF(A1100="","",TEXT(A1100,"mmm-yyyy"))</f>
        <v/>
      </c>
    </row>
    <row r="1101">
      <c r="D1101">
        <f>IFERROR(XLOOKUP(C1101,'Vendor Master'!$A$6:$A$15,'Vendor Master'!$B$6:$B$15,""),"")</f>
        <v/>
      </c>
      <c r="J1101">
        <f>IF(A1101="","",TEXT(A1101,"mmm-yyyy"))</f>
        <v/>
      </c>
    </row>
    <row r="1102">
      <c r="D1102">
        <f>IFERROR(XLOOKUP(C1102,'Vendor Master'!$A$6:$A$15,'Vendor Master'!$B$6:$B$15,""),"")</f>
        <v/>
      </c>
      <c r="J1102">
        <f>IF(A1102="","",TEXT(A1102,"mmm-yyyy"))</f>
        <v/>
      </c>
    </row>
    <row r="1103">
      <c r="D1103">
        <f>IFERROR(XLOOKUP(C1103,'Vendor Master'!$A$6:$A$15,'Vendor Master'!$B$6:$B$15,""),"")</f>
        <v/>
      </c>
      <c r="J1103">
        <f>IF(A1103="","",TEXT(A1103,"mmm-yyyy"))</f>
        <v/>
      </c>
    </row>
    <row r="1104">
      <c r="D1104">
        <f>IFERROR(XLOOKUP(C1104,'Vendor Master'!$A$6:$A$15,'Vendor Master'!$B$6:$B$15,""),"")</f>
        <v/>
      </c>
      <c r="J1104">
        <f>IF(A1104="","",TEXT(A1104,"mmm-yyyy"))</f>
        <v/>
      </c>
    </row>
    <row r="1105">
      <c r="D1105">
        <f>IFERROR(XLOOKUP(C1105,'Vendor Master'!$A$6:$A$15,'Vendor Master'!$B$6:$B$15,""),"")</f>
        <v/>
      </c>
      <c r="J1105">
        <f>IF(A1105="","",TEXT(A1105,"mmm-yyyy"))</f>
        <v/>
      </c>
    </row>
    <row r="1106">
      <c r="D1106">
        <f>IFERROR(XLOOKUP(C1106,'Vendor Master'!$A$6:$A$15,'Vendor Master'!$B$6:$B$15,""),"")</f>
        <v/>
      </c>
      <c r="J1106">
        <f>IF(A1106="","",TEXT(A1106,"mmm-yyyy"))</f>
        <v/>
      </c>
    </row>
    <row r="1107">
      <c r="D1107">
        <f>IFERROR(XLOOKUP(C1107,'Vendor Master'!$A$6:$A$15,'Vendor Master'!$B$6:$B$15,""),"")</f>
        <v/>
      </c>
      <c r="J1107">
        <f>IF(A1107="","",TEXT(A1107,"mmm-yyyy"))</f>
        <v/>
      </c>
    </row>
    <row r="1108">
      <c r="D1108">
        <f>IFERROR(XLOOKUP(C1108,'Vendor Master'!$A$6:$A$15,'Vendor Master'!$B$6:$B$15,""),"")</f>
        <v/>
      </c>
      <c r="J1108">
        <f>IF(A1108="","",TEXT(A1108,"mmm-yyyy"))</f>
        <v/>
      </c>
    </row>
    <row r="1109">
      <c r="D1109">
        <f>IFERROR(XLOOKUP(C1109,'Vendor Master'!$A$6:$A$15,'Vendor Master'!$B$6:$B$15,""),"")</f>
        <v/>
      </c>
      <c r="J1109">
        <f>IF(A1109="","",TEXT(A1109,"mmm-yyyy"))</f>
        <v/>
      </c>
    </row>
    <row r="1110">
      <c r="D1110">
        <f>IFERROR(XLOOKUP(C1110,'Vendor Master'!$A$6:$A$15,'Vendor Master'!$B$6:$B$15,""),"")</f>
        <v/>
      </c>
      <c r="J1110">
        <f>IF(A1110="","",TEXT(A1110,"mmm-yyyy"))</f>
        <v/>
      </c>
    </row>
    <row r="1111">
      <c r="D1111">
        <f>IFERROR(XLOOKUP(C1111,'Vendor Master'!$A$6:$A$15,'Vendor Master'!$B$6:$B$15,""),"")</f>
        <v/>
      </c>
      <c r="J1111">
        <f>IF(A1111="","",TEXT(A1111,"mmm-yyyy"))</f>
        <v/>
      </c>
    </row>
    <row r="1112">
      <c r="D1112">
        <f>IFERROR(XLOOKUP(C1112,'Vendor Master'!$A$6:$A$15,'Vendor Master'!$B$6:$B$15,""),"")</f>
        <v/>
      </c>
      <c r="J1112">
        <f>IF(A1112="","",TEXT(A1112,"mmm-yyyy"))</f>
        <v/>
      </c>
    </row>
    <row r="1113">
      <c r="D1113">
        <f>IFERROR(XLOOKUP(C1113,'Vendor Master'!$A$6:$A$15,'Vendor Master'!$B$6:$B$15,""),"")</f>
        <v/>
      </c>
      <c r="J1113">
        <f>IF(A1113="","",TEXT(A1113,"mmm-yyyy"))</f>
        <v/>
      </c>
    </row>
    <row r="1114">
      <c r="D1114">
        <f>IFERROR(XLOOKUP(C1114,'Vendor Master'!$A$6:$A$15,'Vendor Master'!$B$6:$B$15,""),"")</f>
        <v/>
      </c>
      <c r="J1114">
        <f>IF(A1114="","",TEXT(A1114,"mmm-yyyy"))</f>
        <v/>
      </c>
    </row>
    <row r="1115">
      <c r="D1115">
        <f>IFERROR(XLOOKUP(C1115,'Vendor Master'!$A$6:$A$15,'Vendor Master'!$B$6:$B$15,""),"")</f>
        <v/>
      </c>
      <c r="J1115">
        <f>IF(A1115="","",TEXT(A1115,"mmm-yyyy"))</f>
        <v/>
      </c>
    </row>
    <row r="1116">
      <c r="D1116">
        <f>IFERROR(XLOOKUP(C1116,'Vendor Master'!$A$6:$A$15,'Vendor Master'!$B$6:$B$15,""),"")</f>
        <v/>
      </c>
      <c r="J1116">
        <f>IF(A1116="","",TEXT(A1116,"mmm-yyyy"))</f>
        <v/>
      </c>
    </row>
    <row r="1117">
      <c r="D1117">
        <f>IFERROR(XLOOKUP(C1117,'Vendor Master'!$A$6:$A$15,'Vendor Master'!$B$6:$B$15,""),"")</f>
        <v/>
      </c>
      <c r="J1117">
        <f>IF(A1117="","",TEXT(A1117,"mmm-yyyy"))</f>
        <v/>
      </c>
    </row>
    <row r="1118">
      <c r="D1118">
        <f>IFERROR(XLOOKUP(C1118,'Vendor Master'!$A$6:$A$15,'Vendor Master'!$B$6:$B$15,""),"")</f>
        <v/>
      </c>
      <c r="J1118">
        <f>IF(A1118="","",TEXT(A1118,"mmm-yyyy"))</f>
        <v/>
      </c>
    </row>
    <row r="1119">
      <c r="D1119">
        <f>IFERROR(XLOOKUP(C1119,'Vendor Master'!$A$6:$A$15,'Vendor Master'!$B$6:$B$15,""),"")</f>
        <v/>
      </c>
      <c r="J1119">
        <f>IF(A1119="","",TEXT(A1119,"mmm-yyyy"))</f>
        <v/>
      </c>
    </row>
    <row r="1120">
      <c r="D1120">
        <f>IFERROR(XLOOKUP(C1120,'Vendor Master'!$A$6:$A$15,'Vendor Master'!$B$6:$B$15,""),"")</f>
        <v/>
      </c>
      <c r="J1120">
        <f>IF(A1120="","",TEXT(A1120,"mmm-yyyy"))</f>
        <v/>
      </c>
    </row>
    <row r="1121">
      <c r="D1121">
        <f>IFERROR(XLOOKUP(C1121,'Vendor Master'!$A$6:$A$15,'Vendor Master'!$B$6:$B$15,""),"")</f>
        <v/>
      </c>
      <c r="J1121">
        <f>IF(A1121="","",TEXT(A1121,"mmm-yyyy"))</f>
        <v/>
      </c>
    </row>
    <row r="1122">
      <c r="D1122">
        <f>IFERROR(XLOOKUP(C1122,'Vendor Master'!$A$6:$A$15,'Vendor Master'!$B$6:$B$15,""),"")</f>
        <v/>
      </c>
      <c r="J1122">
        <f>IF(A1122="","",TEXT(A1122,"mmm-yyyy"))</f>
        <v/>
      </c>
    </row>
    <row r="1123">
      <c r="D1123">
        <f>IFERROR(XLOOKUP(C1123,'Vendor Master'!$A$6:$A$15,'Vendor Master'!$B$6:$B$15,""),"")</f>
        <v/>
      </c>
      <c r="J1123">
        <f>IF(A1123="","",TEXT(A1123,"mmm-yyyy"))</f>
        <v/>
      </c>
    </row>
    <row r="1124">
      <c r="D1124">
        <f>IFERROR(XLOOKUP(C1124,'Vendor Master'!$A$6:$A$15,'Vendor Master'!$B$6:$B$15,""),"")</f>
        <v/>
      </c>
      <c r="J1124">
        <f>IF(A1124="","",TEXT(A1124,"mmm-yyyy"))</f>
        <v/>
      </c>
    </row>
    <row r="1125">
      <c r="D1125">
        <f>IFERROR(XLOOKUP(C1125,'Vendor Master'!$A$6:$A$15,'Vendor Master'!$B$6:$B$15,""),"")</f>
        <v/>
      </c>
      <c r="J1125">
        <f>IF(A1125="","",TEXT(A1125,"mmm-yyyy"))</f>
        <v/>
      </c>
    </row>
    <row r="1126">
      <c r="D1126">
        <f>IFERROR(XLOOKUP(C1126,'Vendor Master'!$A$6:$A$15,'Vendor Master'!$B$6:$B$15,""),"")</f>
        <v/>
      </c>
      <c r="J1126">
        <f>IF(A1126="","",TEXT(A1126,"mmm-yyyy"))</f>
        <v/>
      </c>
    </row>
    <row r="1127">
      <c r="D1127">
        <f>IFERROR(XLOOKUP(C1127,'Vendor Master'!$A$6:$A$15,'Vendor Master'!$B$6:$B$15,""),"")</f>
        <v/>
      </c>
      <c r="J1127">
        <f>IF(A1127="","",TEXT(A1127,"mmm-yyyy"))</f>
        <v/>
      </c>
    </row>
    <row r="1128">
      <c r="D1128">
        <f>IFERROR(XLOOKUP(C1128,'Vendor Master'!$A$6:$A$15,'Vendor Master'!$B$6:$B$15,""),"")</f>
        <v/>
      </c>
      <c r="J1128">
        <f>IF(A1128="","",TEXT(A1128,"mmm-yyyy"))</f>
        <v/>
      </c>
    </row>
    <row r="1129">
      <c r="D1129">
        <f>IFERROR(XLOOKUP(C1129,'Vendor Master'!$A$6:$A$15,'Vendor Master'!$B$6:$B$15,""),"")</f>
        <v/>
      </c>
      <c r="J1129">
        <f>IF(A1129="","",TEXT(A1129,"mmm-yyyy"))</f>
        <v/>
      </c>
    </row>
    <row r="1130">
      <c r="D1130">
        <f>IFERROR(XLOOKUP(C1130,'Vendor Master'!$A$6:$A$15,'Vendor Master'!$B$6:$B$15,""),"")</f>
        <v/>
      </c>
      <c r="J1130">
        <f>IF(A1130="","",TEXT(A1130,"mmm-yyyy"))</f>
        <v/>
      </c>
    </row>
    <row r="1131">
      <c r="D1131">
        <f>IFERROR(XLOOKUP(C1131,'Vendor Master'!$A$6:$A$15,'Vendor Master'!$B$6:$B$15,""),"")</f>
        <v/>
      </c>
      <c r="J1131">
        <f>IF(A1131="","",TEXT(A1131,"mmm-yyyy"))</f>
        <v/>
      </c>
    </row>
    <row r="1132">
      <c r="D1132">
        <f>IFERROR(XLOOKUP(C1132,'Vendor Master'!$A$6:$A$15,'Vendor Master'!$B$6:$B$15,""),"")</f>
        <v/>
      </c>
      <c r="J1132">
        <f>IF(A1132="","",TEXT(A1132,"mmm-yyyy"))</f>
        <v/>
      </c>
    </row>
    <row r="1133">
      <c r="D1133">
        <f>IFERROR(XLOOKUP(C1133,'Vendor Master'!$A$6:$A$15,'Vendor Master'!$B$6:$B$15,""),"")</f>
        <v/>
      </c>
      <c r="J1133">
        <f>IF(A1133="","",TEXT(A1133,"mmm-yyyy"))</f>
        <v/>
      </c>
    </row>
    <row r="1134">
      <c r="D1134">
        <f>IFERROR(XLOOKUP(C1134,'Vendor Master'!$A$6:$A$15,'Vendor Master'!$B$6:$B$15,""),"")</f>
        <v/>
      </c>
      <c r="J1134">
        <f>IF(A1134="","",TEXT(A1134,"mmm-yyyy"))</f>
        <v/>
      </c>
    </row>
    <row r="1135">
      <c r="D1135">
        <f>IFERROR(XLOOKUP(C1135,'Vendor Master'!$A$6:$A$15,'Vendor Master'!$B$6:$B$15,""),"")</f>
        <v/>
      </c>
      <c r="J1135">
        <f>IF(A1135="","",TEXT(A1135,"mmm-yyyy"))</f>
        <v/>
      </c>
    </row>
    <row r="1136">
      <c r="D1136">
        <f>IFERROR(XLOOKUP(C1136,'Vendor Master'!$A$6:$A$15,'Vendor Master'!$B$6:$B$15,""),"")</f>
        <v/>
      </c>
      <c r="J1136">
        <f>IF(A1136="","",TEXT(A1136,"mmm-yyyy"))</f>
        <v/>
      </c>
    </row>
    <row r="1137">
      <c r="D1137">
        <f>IFERROR(XLOOKUP(C1137,'Vendor Master'!$A$6:$A$15,'Vendor Master'!$B$6:$B$15,""),"")</f>
        <v/>
      </c>
      <c r="J1137">
        <f>IF(A1137="","",TEXT(A1137,"mmm-yyyy"))</f>
        <v/>
      </c>
    </row>
    <row r="1138">
      <c r="D1138">
        <f>IFERROR(XLOOKUP(C1138,'Vendor Master'!$A$6:$A$15,'Vendor Master'!$B$6:$B$15,""),"")</f>
        <v/>
      </c>
      <c r="J1138">
        <f>IF(A1138="","",TEXT(A1138,"mmm-yyyy"))</f>
        <v/>
      </c>
    </row>
    <row r="1139">
      <c r="D1139">
        <f>IFERROR(XLOOKUP(C1139,'Vendor Master'!$A$6:$A$15,'Vendor Master'!$B$6:$B$15,""),"")</f>
        <v/>
      </c>
      <c r="J1139">
        <f>IF(A1139="","",TEXT(A1139,"mmm-yyyy"))</f>
        <v/>
      </c>
    </row>
    <row r="1140">
      <c r="D1140">
        <f>IFERROR(XLOOKUP(C1140,'Vendor Master'!$A$6:$A$15,'Vendor Master'!$B$6:$B$15,""),"")</f>
        <v/>
      </c>
      <c r="J1140">
        <f>IF(A1140="","",TEXT(A1140,"mmm-yyyy"))</f>
        <v/>
      </c>
    </row>
    <row r="1141">
      <c r="D1141">
        <f>IFERROR(XLOOKUP(C1141,'Vendor Master'!$A$6:$A$15,'Vendor Master'!$B$6:$B$15,""),"")</f>
        <v/>
      </c>
      <c r="J1141">
        <f>IF(A1141="","",TEXT(A1141,"mmm-yyyy"))</f>
        <v/>
      </c>
    </row>
    <row r="1142">
      <c r="D1142">
        <f>IFERROR(XLOOKUP(C1142,'Vendor Master'!$A$6:$A$15,'Vendor Master'!$B$6:$B$15,""),"")</f>
        <v/>
      </c>
      <c r="J1142">
        <f>IF(A1142="","",TEXT(A1142,"mmm-yyyy"))</f>
        <v/>
      </c>
    </row>
    <row r="1143">
      <c r="D1143">
        <f>IFERROR(XLOOKUP(C1143,'Vendor Master'!$A$6:$A$15,'Vendor Master'!$B$6:$B$15,""),"")</f>
        <v/>
      </c>
      <c r="J1143">
        <f>IF(A1143="","",TEXT(A1143,"mmm-yyyy"))</f>
        <v/>
      </c>
    </row>
    <row r="1144">
      <c r="D1144">
        <f>IFERROR(XLOOKUP(C1144,'Vendor Master'!$A$6:$A$15,'Vendor Master'!$B$6:$B$15,""),"")</f>
        <v/>
      </c>
      <c r="J1144">
        <f>IF(A1144="","",TEXT(A1144,"mmm-yyyy"))</f>
        <v/>
      </c>
    </row>
    <row r="1145">
      <c r="D1145">
        <f>IFERROR(XLOOKUP(C1145,'Vendor Master'!$A$6:$A$15,'Vendor Master'!$B$6:$B$15,""),"")</f>
        <v/>
      </c>
      <c r="J1145">
        <f>IF(A1145="","",TEXT(A1145,"mmm-yyyy"))</f>
        <v/>
      </c>
    </row>
    <row r="1146">
      <c r="D1146">
        <f>IFERROR(XLOOKUP(C1146,'Vendor Master'!$A$6:$A$15,'Vendor Master'!$B$6:$B$15,""),"")</f>
        <v/>
      </c>
      <c r="J1146">
        <f>IF(A1146="","",TEXT(A1146,"mmm-yyyy"))</f>
        <v/>
      </c>
    </row>
    <row r="1147">
      <c r="D1147">
        <f>IFERROR(XLOOKUP(C1147,'Vendor Master'!$A$6:$A$15,'Vendor Master'!$B$6:$B$15,""),"")</f>
        <v/>
      </c>
      <c r="J1147">
        <f>IF(A1147="","",TEXT(A1147,"mmm-yyyy"))</f>
        <v/>
      </c>
    </row>
    <row r="1148">
      <c r="D1148">
        <f>IFERROR(XLOOKUP(C1148,'Vendor Master'!$A$6:$A$15,'Vendor Master'!$B$6:$B$15,""),"")</f>
        <v/>
      </c>
      <c r="J1148">
        <f>IF(A1148="","",TEXT(A1148,"mmm-yyyy"))</f>
        <v/>
      </c>
    </row>
    <row r="1149">
      <c r="D1149">
        <f>IFERROR(XLOOKUP(C1149,'Vendor Master'!$A$6:$A$15,'Vendor Master'!$B$6:$B$15,""),"")</f>
        <v/>
      </c>
      <c r="J1149">
        <f>IF(A1149="","",TEXT(A1149,"mmm-yyyy"))</f>
        <v/>
      </c>
    </row>
    <row r="1150">
      <c r="D1150">
        <f>IFERROR(XLOOKUP(C1150,'Vendor Master'!$A$6:$A$15,'Vendor Master'!$B$6:$B$15,""),"")</f>
        <v/>
      </c>
      <c r="J1150">
        <f>IF(A1150="","",TEXT(A1150,"mmm-yyyy"))</f>
        <v/>
      </c>
    </row>
    <row r="1151">
      <c r="D1151">
        <f>IFERROR(XLOOKUP(C1151,'Vendor Master'!$A$6:$A$15,'Vendor Master'!$B$6:$B$15,""),"")</f>
        <v/>
      </c>
      <c r="J1151">
        <f>IF(A1151="","",TEXT(A1151,"mmm-yyyy"))</f>
        <v/>
      </c>
    </row>
    <row r="1152">
      <c r="D1152">
        <f>IFERROR(XLOOKUP(C1152,'Vendor Master'!$A$6:$A$15,'Vendor Master'!$B$6:$B$15,""),"")</f>
        <v/>
      </c>
      <c r="J1152">
        <f>IF(A1152="","",TEXT(A1152,"mmm-yyyy"))</f>
        <v/>
      </c>
    </row>
    <row r="1153">
      <c r="D1153">
        <f>IFERROR(XLOOKUP(C1153,'Vendor Master'!$A$6:$A$15,'Vendor Master'!$B$6:$B$15,""),"")</f>
        <v/>
      </c>
      <c r="J1153">
        <f>IF(A1153="","",TEXT(A1153,"mmm-yyyy"))</f>
        <v/>
      </c>
    </row>
    <row r="1154">
      <c r="D1154">
        <f>IFERROR(XLOOKUP(C1154,'Vendor Master'!$A$6:$A$15,'Vendor Master'!$B$6:$B$15,""),"")</f>
        <v/>
      </c>
      <c r="J1154">
        <f>IF(A1154="","",TEXT(A1154,"mmm-yyyy"))</f>
        <v/>
      </c>
    </row>
    <row r="1155">
      <c r="D1155">
        <f>IFERROR(XLOOKUP(C1155,'Vendor Master'!$A$6:$A$15,'Vendor Master'!$B$6:$B$15,""),"")</f>
        <v/>
      </c>
      <c r="J1155">
        <f>IF(A1155="","",TEXT(A1155,"mmm-yyyy"))</f>
        <v/>
      </c>
    </row>
    <row r="1156">
      <c r="D1156">
        <f>IFERROR(XLOOKUP(C1156,'Vendor Master'!$A$6:$A$15,'Vendor Master'!$B$6:$B$15,""),"")</f>
        <v/>
      </c>
      <c r="J1156">
        <f>IF(A1156="","",TEXT(A1156,"mmm-yyyy"))</f>
        <v/>
      </c>
    </row>
    <row r="1157">
      <c r="D1157">
        <f>IFERROR(XLOOKUP(C1157,'Vendor Master'!$A$6:$A$15,'Vendor Master'!$B$6:$B$15,""),"")</f>
        <v/>
      </c>
      <c r="J1157">
        <f>IF(A1157="","",TEXT(A1157,"mmm-yyyy"))</f>
        <v/>
      </c>
    </row>
    <row r="1158">
      <c r="D1158">
        <f>IFERROR(XLOOKUP(C1158,'Vendor Master'!$A$6:$A$15,'Vendor Master'!$B$6:$B$15,""),"")</f>
        <v/>
      </c>
      <c r="J1158">
        <f>IF(A1158="","",TEXT(A1158,"mmm-yyyy"))</f>
        <v/>
      </c>
    </row>
    <row r="1159">
      <c r="D1159">
        <f>IFERROR(XLOOKUP(C1159,'Vendor Master'!$A$6:$A$15,'Vendor Master'!$B$6:$B$15,""),"")</f>
        <v/>
      </c>
      <c r="J1159">
        <f>IF(A1159="","",TEXT(A1159,"mmm-yyyy"))</f>
        <v/>
      </c>
    </row>
    <row r="1160">
      <c r="D1160">
        <f>IFERROR(XLOOKUP(C1160,'Vendor Master'!$A$6:$A$15,'Vendor Master'!$B$6:$B$15,""),"")</f>
        <v/>
      </c>
      <c r="J1160">
        <f>IF(A1160="","",TEXT(A1160,"mmm-yyyy"))</f>
        <v/>
      </c>
    </row>
    <row r="1161">
      <c r="D1161">
        <f>IFERROR(XLOOKUP(C1161,'Vendor Master'!$A$6:$A$15,'Vendor Master'!$B$6:$B$15,""),"")</f>
        <v/>
      </c>
      <c r="J1161">
        <f>IF(A1161="","",TEXT(A1161,"mmm-yyyy"))</f>
        <v/>
      </c>
    </row>
    <row r="1162">
      <c r="D1162">
        <f>IFERROR(XLOOKUP(C1162,'Vendor Master'!$A$6:$A$15,'Vendor Master'!$B$6:$B$15,""),"")</f>
        <v/>
      </c>
      <c r="J1162">
        <f>IF(A1162="","",TEXT(A1162,"mmm-yyyy"))</f>
        <v/>
      </c>
    </row>
    <row r="1163">
      <c r="D1163">
        <f>IFERROR(XLOOKUP(C1163,'Vendor Master'!$A$6:$A$15,'Vendor Master'!$B$6:$B$15,""),"")</f>
        <v/>
      </c>
      <c r="J1163">
        <f>IF(A1163="","",TEXT(A1163,"mmm-yyyy"))</f>
        <v/>
      </c>
    </row>
    <row r="1164">
      <c r="D1164">
        <f>IFERROR(XLOOKUP(C1164,'Vendor Master'!$A$6:$A$15,'Vendor Master'!$B$6:$B$15,""),"")</f>
        <v/>
      </c>
      <c r="J1164">
        <f>IF(A1164="","",TEXT(A1164,"mmm-yyyy"))</f>
        <v/>
      </c>
    </row>
    <row r="1165">
      <c r="D1165">
        <f>IFERROR(XLOOKUP(C1165,'Vendor Master'!$A$6:$A$15,'Vendor Master'!$B$6:$B$15,""),"")</f>
        <v/>
      </c>
      <c r="J1165">
        <f>IF(A1165="","",TEXT(A1165,"mmm-yyyy"))</f>
        <v/>
      </c>
    </row>
    <row r="1166">
      <c r="D1166">
        <f>IFERROR(XLOOKUP(C1166,'Vendor Master'!$A$6:$A$15,'Vendor Master'!$B$6:$B$15,""),"")</f>
        <v/>
      </c>
      <c r="J1166">
        <f>IF(A1166="","",TEXT(A1166,"mmm-yyyy"))</f>
        <v/>
      </c>
    </row>
    <row r="1167">
      <c r="D1167">
        <f>IFERROR(XLOOKUP(C1167,'Vendor Master'!$A$6:$A$15,'Vendor Master'!$B$6:$B$15,""),"")</f>
        <v/>
      </c>
      <c r="J1167">
        <f>IF(A1167="","",TEXT(A1167,"mmm-yyyy"))</f>
        <v/>
      </c>
    </row>
    <row r="1168">
      <c r="D1168">
        <f>IFERROR(XLOOKUP(C1168,'Vendor Master'!$A$6:$A$15,'Vendor Master'!$B$6:$B$15,""),"")</f>
        <v/>
      </c>
      <c r="J1168">
        <f>IF(A1168="","",TEXT(A1168,"mmm-yyyy"))</f>
        <v/>
      </c>
    </row>
    <row r="1169">
      <c r="D1169">
        <f>IFERROR(XLOOKUP(C1169,'Vendor Master'!$A$6:$A$15,'Vendor Master'!$B$6:$B$15,""),"")</f>
        <v/>
      </c>
      <c r="J1169">
        <f>IF(A1169="","",TEXT(A1169,"mmm-yyyy"))</f>
        <v/>
      </c>
    </row>
    <row r="1170">
      <c r="D1170">
        <f>IFERROR(XLOOKUP(C1170,'Vendor Master'!$A$6:$A$15,'Vendor Master'!$B$6:$B$15,""),"")</f>
        <v/>
      </c>
      <c r="J1170">
        <f>IF(A1170="","",TEXT(A1170,"mmm-yyyy"))</f>
        <v/>
      </c>
    </row>
    <row r="1171">
      <c r="D1171">
        <f>IFERROR(XLOOKUP(C1171,'Vendor Master'!$A$6:$A$15,'Vendor Master'!$B$6:$B$15,""),"")</f>
        <v/>
      </c>
      <c r="J1171">
        <f>IF(A1171="","",TEXT(A1171,"mmm-yyyy"))</f>
        <v/>
      </c>
    </row>
    <row r="1172">
      <c r="D1172">
        <f>IFERROR(XLOOKUP(C1172,'Vendor Master'!$A$6:$A$15,'Vendor Master'!$B$6:$B$15,""),"")</f>
        <v/>
      </c>
      <c r="J1172">
        <f>IF(A1172="","",TEXT(A1172,"mmm-yyyy"))</f>
        <v/>
      </c>
    </row>
    <row r="1173">
      <c r="D1173">
        <f>IFERROR(XLOOKUP(C1173,'Vendor Master'!$A$6:$A$15,'Vendor Master'!$B$6:$B$15,""),"")</f>
        <v/>
      </c>
      <c r="J1173">
        <f>IF(A1173="","",TEXT(A1173,"mmm-yyyy"))</f>
        <v/>
      </c>
    </row>
    <row r="1174">
      <c r="D1174">
        <f>IFERROR(XLOOKUP(C1174,'Vendor Master'!$A$6:$A$15,'Vendor Master'!$B$6:$B$15,""),"")</f>
        <v/>
      </c>
      <c r="J1174">
        <f>IF(A1174="","",TEXT(A1174,"mmm-yyyy"))</f>
        <v/>
      </c>
    </row>
    <row r="1175">
      <c r="D1175">
        <f>IFERROR(XLOOKUP(C1175,'Vendor Master'!$A$6:$A$15,'Vendor Master'!$B$6:$B$15,""),"")</f>
        <v/>
      </c>
      <c r="J1175">
        <f>IF(A1175="","",TEXT(A1175,"mmm-yyyy"))</f>
        <v/>
      </c>
    </row>
    <row r="1176">
      <c r="D1176">
        <f>IFERROR(XLOOKUP(C1176,'Vendor Master'!$A$6:$A$15,'Vendor Master'!$B$6:$B$15,""),"")</f>
        <v/>
      </c>
      <c r="J1176">
        <f>IF(A1176="","",TEXT(A1176,"mmm-yyyy"))</f>
        <v/>
      </c>
    </row>
    <row r="1177">
      <c r="D1177">
        <f>IFERROR(XLOOKUP(C1177,'Vendor Master'!$A$6:$A$15,'Vendor Master'!$B$6:$B$15,""),"")</f>
        <v/>
      </c>
      <c r="J1177">
        <f>IF(A1177="","",TEXT(A1177,"mmm-yyyy"))</f>
        <v/>
      </c>
    </row>
    <row r="1178">
      <c r="D1178">
        <f>IFERROR(XLOOKUP(C1178,'Vendor Master'!$A$6:$A$15,'Vendor Master'!$B$6:$B$15,""),"")</f>
        <v/>
      </c>
      <c r="J1178">
        <f>IF(A1178="","",TEXT(A1178,"mmm-yyyy"))</f>
        <v/>
      </c>
    </row>
    <row r="1179">
      <c r="D1179">
        <f>IFERROR(XLOOKUP(C1179,'Vendor Master'!$A$6:$A$15,'Vendor Master'!$B$6:$B$15,""),"")</f>
        <v/>
      </c>
      <c r="J1179">
        <f>IF(A1179="","",TEXT(A1179,"mmm-yyyy"))</f>
        <v/>
      </c>
    </row>
    <row r="1180">
      <c r="D1180">
        <f>IFERROR(XLOOKUP(C1180,'Vendor Master'!$A$6:$A$15,'Vendor Master'!$B$6:$B$15,""),"")</f>
        <v/>
      </c>
      <c r="J1180">
        <f>IF(A1180="","",TEXT(A1180,"mmm-yyyy"))</f>
        <v/>
      </c>
    </row>
    <row r="1181">
      <c r="D1181">
        <f>IFERROR(XLOOKUP(C1181,'Vendor Master'!$A$6:$A$15,'Vendor Master'!$B$6:$B$15,""),"")</f>
        <v/>
      </c>
      <c r="J1181">
        <f>IF(A1181="","",TEXT(A1181,"mmm-yyyy"))</f>
        <v/>
      </c>
    </row>
    <row r="1182">
      <c r="D1182">
        <f>IFERROR(XLOOKUP(C1182,'Vendor Master'!$A$6:$A$15,'Vendor Master'!$B$6:$B$15,""),"")</f>
        <v/>
      </c>
      <c r="J1182">
        <f>IF(A1182="","",TEXT(A1182,"mmm-yyyy"))</f>
        <v/>
      </c>
    </row>
    <row r="1183">
      <c r="D1183">
        <f>IFERROR(XLOOKUP(C1183,'Vendor Master'!$A$6:$A$15,'Vendor Master'!$B$6:$B$15,""),"")</f>
        <v/>
      </c>
      <c r="J1183">
        <f>IF(A1183="","",TEXT(A1183,"mmm-yyyy"))</f>
        <v/>
      </c>
    </row>
    <row r="1184">
      <c r="D1184">
        <f>IFERROR(XLOOKUP(C1184,'Vendor Master'!$A$6:$A$15,'Vendor Master'!$B$6:$B$15,""),"")</f>
        <v/>
      </c>
      <c r="J1184">
        <f>IF(A1184="","",TEXT(A1184,"mmm-yyyy"))</f>
        <v/>
      </c>
    </row>
    <row r="1185">
      <c r="D1185">
        <f>IFERROR(XLOOKUP(C1185,'Vendor Master'!$A$6:$A$15,'Vendor Master'!$B$6:$B$15,""),"")</f>
        <v/>
      </c>
      <c r="J1185">
        <f>IF(A1185="","",TEXT(A1185,"mmm-yyyy"))</f>
        <v/>
      </c>
    </row>
    <row r="1186">
      <c r="D1186">
        <f>IFERROR(XLOOKUP(C1186,'Vendor Master'!$A$6:$A$15,'Vendor Master'!$B$6:$B$15,""),"")</f>
        <v/>
      </c>
      <c r="J1186">
        <f>IF(A1186="","",TEXT(A1186,"mmm-yyyy"))</f>
        <v/>
      </c>
    </row>
    <row r="1187">
      <c r="D1187">
        <f>IFERROR(XLOOKUP(C1187,'Vendor Master'!$A$6:$A$15,'Vendor Master'!$B$6:$B$15,""),"")</f>
        <v/>
      </c>
      <c r="J1187">
        <f>IF(A1187="","",TEXT(A1187,"mmm-yyyy"))</f>
        <v/>
      </c>
    </row>
    <row r="1188">
      <c r="D1188">
        <f>IFERROR(XLOOKUP(C1188,'Vendor Master'!$A$6:$A$15,'Vendor Master'!$B$6:$B$15,""),"")</f>
        <v/>
      </c>
      <c r="J1188">
        <f>IF(A1188="","",TEXT(A1188,"mmm-yyyy"))</f>
        <v/>
      </c>
    </row>
    <row r="1189">
      <c r="D1189">
        <f>IFERROR(XLOOKUP(C1189,'Vendor Master'!$A$6:$A$15,'Vendor Master'!$B$6:$B$15,""),"")</f>
        <v/>
      </c>
      <c r="J1189">
        <f>IF(A1189="","",TEXT(A1189,"mmm-yyyy"))</f>
        <v/>
      </c>
    </row>
    <row r="1190">
      <c r="D1190">
        <f>IFERROR(XLOOKUP(C1190,'Vendor Master'!$A$6:$A$15,'Vendor Master'!$B$6:$B$15,""),"")</f>
        <v/>
      </c>
      <c r="J1190">
        <f>IF(A1190="","",TEXT(A1190,"mmm-yyyy"))</f>
        <v/>
      </c>
    </row>
    <row r="1191">
      <c r="D1191">
        <f>IFERROR(XLOOKUP(C1191,'Vendor Master'!$A$6:$A$15,'Vendor Master'!$B$6:$B$15,""),"")</f>
        <v/>
      </c>
      <c r="J1191">
        <f>IF(A1191="","",TEXT(A1191,"mmm-yyyy"))</f>
        <v/>
      </c>
    </row>
    <row r="1192">
      <c r="D1192">
        <f>IFERROR(XLOOKUP(C1192,'Vendor Master'!$A$6:$A$15,'Vendor Master'!$B$6:$B$15,""),"")</f>
        <v/>
      </c>
      <c r="J1192">
        <f>IF(A1192="","",TEXT(A1192,"mmm-yyyy"))</f>
        <v/>
      </c>
    </row>
    <row r="1193">
      <c r="D1193">
        <f>IFERROR(XLOOKUP(C1193,'Vendor Master'!$A$6:$A$15,'Vendor Master'!$B$6:$B$15,""),"")</f>
        <v/>
      </c>
      <c r="J1193">
        <f>IF(A1193="","",TEXT(A1193,"mmm-yyyy"))</f>
        <v/>
      </c>
    </row>
    <row r="1194">
      <c r="D1194">
        <f>IFERROR(XLOOKUP(C1194,'Vendor Master'!$A$6:$A$15,'Vendor Master'!$B$6:$B$15,""),"")</f>
        <v/>
      </c>
      <c r="J1194">
        <f>IF(A1194="","",TEXT(A1194,"mmm-yyyy"))</f>
        <v/>
      </c>
    </row>
    <row r="1195">
      <c r="D1195">
        <f>IFERROR(XLOOKUP(C1195,'Vendor Master'!$A$6:$A$15,'Vendor Master'!$B$6:$B$15,""),"")</f>
        <v/>
      </c>
      <c r="J1195">
        <f>IF(A1195="","",TEXT(A1195,"mmm-yyyy"))</f>
        <v/>
      </c>
    </row>
    <row r="1196">
      <c r="D1196">
        <f>IFERROR(XLOOKUP(C1196,'Vendor Master'!$A$6:$A$15,'Vendor Master'!$B$6:$B$15,""),"")</f>
        <v/>
      </c>
      <c r="J1196">
        <f>IF(A1196="","",TEXT(A1196,"mmm-yyyy"))</f>
        <v/>
      </c>
    </row>
    <row r="1197">
      <c r="D1197">
        <f>IFERROR(XLOOKUP(C1197,'Vendor Master'!$A$6:$A$15,'Vendor Master'!$B$6:$B$15,""),"")</f>
        <v/>
      </c>
      <c r="J1197">
        <f>IF(A1197="","",TEXT(A1197,"mmm-yyyy"))</f>
        <v/>
      </c>
    </row>
    <row r="1198">
      <c r="D1198">
        <f>IFERROR(XLOOKUP(C1198,'Vendor Master'!$A$6:$A$15,'Vendor Master'!$B$6:$B$15,""),"")</f>
        <v/>
      </c>
      <c r="J1198">
        <f>IF(A1198="","",TEXT(A1198,"mmm-yyyy"))</f>
        <v/>
      </c>
    </row>
    <row r="1199">
      <c r="D1199">
        <f>IFERROR(XLOOKUP(C1199,'Vendor Master'!$A$6:$A$15,'Vendor Master'!$B$6:$B$15,""),"")</f>
        <v/>
      </c>
      <c r="J1199">
        <f>IF(A1199="","",TEXT(A1199,"mmm-yyyy"))</f>
        <v/>
      </c>
    </row>
    <row r="1200">
      <c r="D1200">
        <f>IFERROR(XLOOKUP(C1200,'Vendor Master'!$A$6:$A$15,'Vendor Master'!$B$6:$B$15,""),"")</f>
        <v/>
      </c>
      <c r="J1200">
        <f>IF(A1200="","",TEXT(A1200,"mmm-yyyy"))</f>
        <v/>
      </c>
    </row>
    <row r="1201">
      <c r="D1201">
        <f>IFERROR(XLOOKUP(C1201,'Vendor Master'!$A$6:$A$15,'Vendor Master'!$B$6:$B$15,""),"")</f>
        <v/>
      </c>
      <c r="J1201">
        <f>IF(A1201="","",TEXT(A1201,"mmm-yyyy"))</f>
        <v/>
      </c>
    </row>
    <row r="1202">
      <c r="D1202">
        <f>IFERROR(XLOOKUP(C1202,'Vendor Master'!$A$6:$A$15,'Vendor Master'!$B$6:$B$15,""),"")</f>
        <v/>
      </c>
      <c r="J1202">
        <f>IF(A1202="","",TEXT(A1202,"mmm-yyyy"))</f>
        <v/>
      </c>
    </row>
    <row r="1203">
      <c r="D1203">
        <f>IFERROR(XLOOKUP(C1203,'Vendor Master'!$A$6:$A$15,'Vendor Master'!$B$6:$B$15,""),"")</f>
        <v/>
      </c>
      <c r="J1203">
        <f>IF(A1203="","",TEXT(A1203,"mmm-yyyy"))</f>
        <v/>
      </c>
    </row>
    <row r="1204">
      <c r="D1204">
        <f>IFERROR(XLOOKUP(C1204,'Vendor Master'!$A$6:$A$15,'Vendor Master'!$B$6:$B$15,""),"")</f>
        <v/>
      </c>
      <c r="J1204">
        <f>IF(A1204="","",TEXT(A1204,"mmm-yyyy"))</f>
        <v/>
      </c>
    </row>
    <row r="1205">
      <c r="D1205">
        <f>IFERROR(XLOOKUP(C1205,'Vendor Master'!$A$6:$A$15,'Vendor Master'!$B$6:$B$15,""),"")</f>
        <v/>
      </c>
      <c r="J1205">
        <f>IF(A1205="","",TEXT(A1205,"mmm-yyyy"))</f>
        <v/>
      </c>
    </row>
    <row r="1206">
      <c r="D1206">
        <f>IFERROR(XLOOKUP(C1206,'Vendor Master'!$A$6:$A$15,'Vendor Master'!$B$6:$B$15,""),"")</f>
        <v/>
      </c>
      <c r="J1206">
        <f>IF(A1206="","",TEXT(A1206,"mmm-yyyy"))</f>
        <v/>
      </c>
    </row>
    <row r="1207">
      <c r="D1207">
        <f>IFERROR(XLOOKUP(C1207,'Vendor Master'!$A$6:$A$15,'Vendor Master'!$B$6:$B$15,""),"")</f>
        <v/>
      </c>
      <c r="J1207">
        <f>IF(A1207="","",TEXT(A1207,"mmm-yyyy"))</f>
        <v/>
      </c>
    </row>
    <row r="1208">
      <c r="D1208">
        <f>IFERROR(XLOOKUP(C1208,'Vendor Master'!$A$6:$A$15,'Vendor Master'!$B$6:$B$15,""),"")</f>
        <v/>
      </c>
      <c r="J1208">
        <f>IF(A1208="","",TEXT(A1208,"mmm-yyyy"))</f>
        <v/>
      </c>
    </row>
    <row r="1209">
      <c r="D1209">
        <f>IFERROR(XLOOKUP(C1209,'Vendor Master'!$A$6:$A$15,'Vendor Master'!$B$6:$B$15,""),"")</f>
        <v/>
      </c>
      <c r="J1209">
        <f>IF(A1209="","",TEXT(A1209,"mmm-yyyy"))</f>
        <v/>
      </c>
    </row>
    <row r="1210">
      <c r="D1210">
        <f>IFERROR(XLOOKUP(C1210,'Vendor Master'!$A$6:$A$15,'Vendor Master'!$B$6:$B$15,""),"")</f>
        <v/>
      </c>
      <c r="J1210">
        <f>IF(A1210="","",TEXT(A1210,"mmm-yyyy"))</f>
        <v/>
      </c>
    </row>
    <row r="1211">
      <c r="D1211">
        <f>IFERROR(XLOOKUP(C1211,'Vendor Master'!$A$6:$A$15,'Vendor Master'!$B$6:$B$15,""),"")</f>
        <v/>
      </c>
      <c r="J1211">
        <f>IF(A1211="","",TEXT(A1211,"mmm-yyyy"))</f>
        <v/>
      </c>
    </row>
    <row r="1212">
      <c r="D1212">
        <f>IFERROR(XLOOKUP(C1212,'Vendor Master'!$A$6:$A$15,'Vendor Master'!$B$6:$B$15,""),"")</f>
        <v/>
      </c>
      <c r="J1212">
        <f>IF(A1212="","",TEXT(A1212,"mmm-yyyy"))</f>
        <v/>
      </c>
    </row>
    <row r="1213">
      <c r="D1213">
        <f>IFERROR(XLOOKUP(C1213,'Vendor Master'!$A$6:$A$15,'Vendor Master'!$B$6:$B$15,""),"")</f>
        <v/>
      </c>
      <c r="J1213">
        <f>IF(A1213="","",TEXT(A1213,"mmm-yyyy"))</f>
        <v/>
      </c>
    </row>
    <row r="1214">
      <c r="D1214">
        <f>IFERROR(XLOOKUP(C1214,'Vendor Master'!$A$6:$A$15,'Vendor Master'!$B$6:$B$15,""),"")</f>
        <v/>
      </c>
      <c r="J1214">
        <f>IF(A1214="","",TEXT(A1214,"mmm-yyyy"))</f>
        <v/>
      </c>
    </row>
    <row r="1215">
      <c r="D1215">
        <f>IFERROR(XLOOKUP(C1215,'Vendor Master'!$A$6:$A$15,'Vendor Master'!$B$6:$B$15,""),"")</f>
        <v/>
      </c>
      <c r="J1215">
        <f>IF(A1215="","",TEXT(A1215,"mmm-yyyy"))</f>
        <v/>
      </c>
    </row>
    <row r="1216">
      <c r="D1216">
        <f>IFERROR(XLOOKUP(C1216,'Vendor Master'!$A$6:$A$15,'Vendor Master'!$B$6:$B$15,""),"")</f>
        <v/>
      </c>
      <c r="J1216">
        <f>IF(A1216="","",TEXT(A1216,"mmm-yyyy"))</f>
        <v/>
      </c>
    </row>
    <row r="1217">
      <c r="D1217">
        <f>IFERROR(XLOOKUP(C1217,'Vendor Master'!$A$6:$A$15,'Vendor Master'!$B$6:$B$15,""),"")</f>
        <v/>
      </c>
      <c r="J1217">
        <f>IF(A1217="","",TEXT(A1217,"mmm-yyyy"))</f>
        <v/>
      </c>
    </row>
    <row r="1218">
      <c r="D1218">
        <f>IFERROR(XLOOKUP(C1218,'Vendor Master'!$A$6:$A$15,'Vendor Master'!$B$6:$B$15,""),"")</f>
        <v/>
      </c>
      <c r="J1218">
        <f>IF(A1218="","",TEXT(A1218,"mmm-yyyy"))</f>
        <v/>
      </c>
    </row>
    <row r="1219">
      <c r="D1219">
        <f>IFERROR(XLOOKUP(C1219,'Vendor Master'!$A$6:$A$15,'Vendor Master'!$B$6:$B$15,""),"")</f>
        <v/>
      </c>
      <c r="J1219">
        <f>IF(A1219="","",TEXT(A1219,"mmm-yyyy"))</f>
        <v/>
      </c>
    </row>
    <row r="1220">
      <c r="D1220">
        <f>IFERROR(XLOOKUP(C1220,'Vendor Master'!$A$6:$A$15,'Vendor Master'!$B$6:$B$15,""),"")</f>
        <v/>
      </c>
      <c r="J1220">
        <f>IF(A1220="","",TEXT(A1220,"mmm-yyyy"))</f>
        <v/>
      </c>
    </row>
    <row r="1221">
      <c r="D1221">
        <f>IFERROR(XLOOKUP(C1221,'Vendor Master'!$A$6:$A$15,'Vendor Master'!$B$6:$B$15,""),"")</f>
        <v/>
      </c>
      <c r="J1221">
        <f>IF(A1221="","",TEXT(A1221,"mmm-yyyy"))</f>
        <v/>
      </c>
    </row>
    <row r="1222">
      <c r="D1222">
        <f>IFERROR(XLOOKUP(C1222,'Vendor Master'!$A$6:$A$15,'Vendor Master'!$B$6:$B$15,""),"")</f>
        <v/>
      </c>
      <c r="J1222">
        <f>IF(A1222="","",TEXT(A1222,"mmm-yyyy"))</f>
        <v/>
      </c>
    </row>
    <row r="1223">
      <c r="D1223">
        <f>IFERROR(XLOOKUP(C1223,'Vendor Master'!$A$6:$A$15,'Vendor Master'!$B$6:$B$15,""),"")</f>
        <v/>
      </c>
      <c r="J1223">
        <f>IF(A1223="","",TEXT(A1223,"mmm-yyyy"))</f>
        <v/>
      </c>
    </row>
    <row r="1224">
      <c r="D1224">
        <f>IFERROR(XLOOKUP(C1224,'Vendor Master'!$A$6:$A$15,'Vendor Master'!$B$6:$B$15,""),"")</f>
        <v/>
      </c>
      <c r="J1224">
        <f>IF(A1224="","",TEXT(A1224,"mmm-yyyy"))</f>
        <v/>
      </c>
    </row>
    <row r="1225">
      <c r="D1225">
        <f>IFERROR(XLOOKUP(C1225,'Vendor Master'!$A$6:$A$15,'Vendor Master'!$B$6:$B$15,""),"")</f>
        <v/>
      </c>
      <c r="J1225">
        <f>IF(A1225="","",TEXT(A1225,"mmm-yyyy"))</f>
        <v/>
      </c>
    </row>
    <row r="1226">
      <c r="D1226">
        <f>IFERROR(XLOOKUP(C1226,'Vendor Master'!$A$6:$A$15,'Vendor Master'!$B$6:$B$15,""),"")</f>
        <v/>
      </c>
      <c r="J1226">
        <f>IF(A1226="","",TEXT(A1226,"mmm-yyyy"))</f>
        <v/>
      </c>
    </row>
    <row r="1227">
      <c r="D1227">
        <f>IFERROR(XLOOKUP(C1227,'Vendor Master'!$A$6:$A$15,'Vendor Master'!$B$6:$B$15,""),"")</f>
        <v/>
      </c>
      <c r="J1227">
        <f>IF(A1227="","",TEXT(A1227,"mmm-yyyy"))</f>
        <v/>
      </c>
    </row>
    <row r="1228">
      <c r="D1228">
        <f>IFERROR(XLOOKUP(C1228,'Vendor Master'!$A$6:$A$15,'Vendor Master'!$B$6:$B$15,""),"")</f>
        <v/>
      </c>
      <c r="J1228">
        <f>IF(A1228="","",TEXT(A1228,"mmm-yyyy"))</f>
        <v/>
      </c>
    </row>
    <row r="1229">
      <c r="D1229">
        <f>IFERROR(XLOOKUP(C1229,'Vendor Master'!$A$6:$A$15,'Vendor Master'!$B$6:$B$15,""),"")</f>
        <v/>
      </c>
      <c r="J1229">
        <f>IF(A1229="","",TEXT(A1229,"mmm-yyyy"))</f>
        <v/>
      </c>
    </row>
    <row r="1230">
      <c r="D1230">
        <f>IFERROR(XLOOKUP(C1230,'Vendor Master'!$A$6:$A$15,'Vendor Master'!$B$6:$B$15,""),"")</f>
        <v/>
      </c>
      <c r="J1230">
        <f>IF(A1230="","",TEXT(A1230,"mmm-yyyy"))</f>
        <v/>
      </c>
    </row>
    <row r="1231">
      <c r="D1231">
        <f>IFERROR(XLOOKUP(C1231,'Vendor Master'!$A$6:$A$15,'Vendor Master'!$B$6:$B$15,""),"")</f>
        <v/>
      </c>
      <c r="J1231">
        <f>IF(A1231="","",TEXT(A1231,"mmm-yyyy"))</f>
        <v/>
      </c>
    </row>
    <row r="1232">
      <c r="D1232">
        <f>IFERROR(XLOOKUP(C1232,'Vendor Master'!$A$6:$A$15,'Vendor Master'!$B$6:$B$15,""),"")</f>
        <v/>
      </c>
      <c r="J1232">
        <f>IF(A1232="","",TEXT(A1232,"mmm-yyyy"))</f>
        <v/>
      </c>
    </row>
    <row r="1233">
      <c r="D1233">
        <f>IFERROR(XLOOKUP(C1233,'Vendor Master'!$A$6:$A$15,'Vendor Master'!$B$6:$B$15,""),"")</f>
        <v/>
      </c>
      <c r="J1233">
        <f>IF(A1233="","",TEXT(A1233,"mmm-yyyy"))</f>
        <v/>
      </c>
    </row>
    <row r="1234">
      <c r="D1234">
        <f>IFERROR(XLOOKUP(C1234,'Vendor Master'!$A$6:$A$15,'Vendor Master'!$B$6:$B$15,""),"")</f>
        <v/>
      </c>
      <c r="J1234">
        <f>IF(A1234="","",TEXT(A1234,"mmm-yyyy"))</f>
        <v/>
      </c>
    </row>
    <row r="1235">
      <c r="D1235">
        <f>IFERROR(XLOOKUP(C1235,'Vendor Master'!$A$6:$A$15,'Vendor Master'!$B$6:$B$15,""),"")</f>
        <v/>
      </c>
      <c r="J1235">
        <f>IF(A1235="","",TEXT(A1235,"mmm-yyyy"))</f>
        <v/>
      </c>
    </row>
    <row r="1236">
      <c r="D1236">
        <f>IFERROR(XLOOKUP(C1236,'Vendor Master'!$A$6:$A$15,'Vendor Master'!$B$6:$B$15,""),"")</f>
        <v/>
      </c>
      <c r="J1236">
        <f>IF(A1236="","",TEXT(A1236,"mmm-yyyy"))</f>
        <v/>
      </c>
    </row>
    <row r="1237">
      <c r="D1237">
        <f>IFERROR(XLOOKUP(C1237,'Vendor Master'!$A$6:$A$15,'Vendor Master'!$B$6:$B$15,""),"")</f>
        <v/>
      </c>
      <c r="J1237">
        <f>IF(A1237="","",TEXT(A1237,"mmm-yyyy"))</f>
        <v/>
      </c>
    </row>
    <row r="1238">
      <c r="D1238">
        <f>IFERROR(XLOOKUP(C1238,'Vendor Master'!$A$6:$A$15,'Vendor Master'!$B$6:$B$15,""),"")</f>
        <v/>
      </c>
      <c r="J1238">
        <f>IF(A1238="","",TEXT(A1238,"mmm-yyyy"))</f>
        <v/>
      </c>
    </row>
    <row r="1239">
      <c r="D1239">
        <f>IFERROR(XLOOKUP(C1239,'Vendor Master'!$A$6:$A$15,'Vendor Master'!$B$6:$B$15,""),"")</f>
        <v/>
      </c>
      <c r="J1239">
        <f>IF(A1239="","",TEXT(A1239,"mmm-yyyy"))</f>
        <v/>
      </c>
    </row>
    <row r="1240">
      <c r="D1240">
        <f>IFERROR(XLOOKUP(C1240,'Vendor Master'!$A$6:$A$15,'Vendor Master'!$B$6:$B$15,""),"")</f>
        <v/>
      </c>
      <c r="J1240">
        <f>IF(A1240="","",TEXT(A1240,"mmm-yyyy"))</f>
        <v/>
      </c>
    </row>
    <row r="1241">
      <c r="D1241">
        <f>IFERROR(XLOOKUP(C1241,'Vendor Master'!$A$6:$A$15,'Vendor Master'!$B$6:$B$15,""),"")</f>
        <v/>
      </c>
      <c r="J1241">
        <f>IF(A1241="","",TEXT(A1241,"mmm-yyyy"))</f>
        <v/>
      </c>
    </row>
    <row r="1242">
      <c r="D1242">
        <f>IFERROR(XLOOKUP(C1242,'Vendor Master'!$A$6:$A$15,'Vendor Master'!$B$6:$B$15,""),"")</f>
        <v/>
      </c>
      <c r="J1242">
        <f>IF(A1242="","",TEXT(A1242,"mmm-yyyy"))</f>
        <v/>
      </c>
    </row>
    <row r="1243">
      <c r="D1243">
        <f>IFERROR(XLOOKUP(C1243,'Vendor Master'!$A$6:$A$15,'Vendor Master'!$B$6:$B$15,""),"")</f>
        <v/>
      </c>
      <c r="J1243">
        <f>IF(A1243="","",TEXT(A1243,"mmm-yyyy"))</f>
        <v/>
      </c>
    </row>
    <row r="1244">
      <c r="D1244">
        <f>IFERROR(XLOOKUP(C1244,'Vendor Master'!$A$6:$A$15,'Vendor Master'!$B$6:$B$15,""),"")</f>
        <v/>
      </c>
      <c r="J1244">
        <f>IF(A1244="","",TEXT(A1244,"mmm-yyyy"))</f>
        <v/>
      </c>
    </row>
    <row r="1245">
      <c r="D1245">
        <f>IFERROR(XLOOKUP(C1245,'Vendor Master'!$A$6:$A$15,'Vendor Master'!$B$6:$B$15,""),"")</f>
        <v/>
      </c>
      <c r="J1245">
        <f>IF(A1245="","",TEXT(A1245,"mmm-yyyy"))</f>
        <v/>
      </c>
    </row>
    <row r="1246">
      <c r="D1246">
        <f>IFERROR(XLOOKUP(C1246,'Vendor Master'!$A$6:$A$15,'Vendor Master'!$B$6:$B$15,""),"")</f>
        <v/>
      </c>
      <c r="J1246">
        <f>IF(A1246="","",TEXT(A1246,"mmm-yyyy"))</f>
        <v/>
      </c>
    </row>
    <row r="1247">
      <c r="D1247">
        <f>IFERROR(XLOOKUP(C1247,'Vendor Master'!$A$6:$A$15,'Vendor Master'!$B$6:$B$15,""),"")</f>
        <v/>
      </c>
      <c r="J1247">
        <f>IF(A1247="","",TEXT(A1247,"mmm-yyyy"))</f>
        <v/>
      </c>
    </row>
    <row r="1248">
      <c r="D1248">
        <f>IFERROR(XLOOKUP(C1248,'Vendor Master'!$A$6:$A$15,'Vendor Master'!$B$6:$B$15,""),"")</f>
        <v/>
      </c>
      <c r="J1248">
        <f>IF(A1248="","",TEXT(A1248,"mmm-yyyy"))</f>
        <v/>
      </c>
    </row>
    <row r="1249">
      <c r="D1249">
        <f>IFERROR(XLOOKUP(C1249,'Vendor Master'!$A$6:$A$15,'Vendor Master'!$B$6:$B$15,""),"")</f>
        <v/>
      </c>
      <c r="J1249">
        <f>IF(A1249="","",TEXT(A1249,"mmm-yyyy"))</f>
        <v/>
      </c>
    </row>
    <row r="1250">
      <c r="D1250">
        <f>IFERROR(XLOOKUP(C1250,'Vendor Master'!$A$6:$A$15,'Vendor Master'!$B$6:$B$15,""),"")</f>
        <v/>
      </c>
      <c r="J1250">
        <f>IF(A1250="","",TEXT(A1250,"mmm-yyyy"))</f>
        <v/>
      </c>
    </row>
    <row r="1251">
      <c r="D1251">
        <f>IFERROR(XLOOKUP(C1251,'Vendor Master'!$A$6:$A$15,'Vendor Master'!$B$6:$B$15,""),"")</f>
        <v/>
      </c>
      <c r="J1251">
        <f>IF(A1251="","",TEXT(A1251,"mmm-yyyy"))</f>
        <v/>
      </c>
    </row>
    <row r="1252">
      <c r="D1252">
        <f>IFERROR(XLOOKUP(C1252,'Vendor Master'!$A$6:$A$15,'Vendor Master'!$B$6:$B$15,""),"")</f>
        <v/>
      </c>
      <c r="J1252">
        <f>IF(A1252="","",TEXT(A1252,"mmm-yyyy"))</f>
        <v/>
      </c>
    </row>
    <row r="1253">
      <c r="D1253">
        <f>IFERROR(XLOOKUP(C1253,'Vendor Master'!$A$6:$A$15,'Vendor Master'!$B$6:$B$15,""),"")</f>
        <v/>
      </c>
      <c r="J1253">
        <f>IF(A1253="","",TEXT(A1253,"mmm-yyyy"))</f>
        <v/>
      </c>
    </row>
    <row r="1254">
      <c r="D1254">
        <f>IFERROR(XLOOKUP(C1254,'Vendor Master'!$A$6:$A$15,'Vendor Master'!$B$6:$B$15,""),"")</f>
        <v/>
      </c>
      <c r="J1254">
        <f>IF(A1254="","",TEXT(A1254,"mmm-yyyy"))</f>
        <v/>
      </c>
    </row>
    <row r="1255">
      <c r="D1255">
        <f>IFERROR(XLOOKUP(C1255,'Vendor Master'!$A$6:$A$15,'Vendor Master'!$B$6:$B$15,""),"")</f>
        <v/>
      </c>
      <c r="J1255">
        <f>IF(A1255="","",TEXT(A1255,"mmm-yyyy"))</f>
        <v/>
      </c>
    </row>
    <row r="1256">
      <c r="D1256">
        <f>IFERROR(XLOOKUP(C1256,'Vendor Master'!$A$6:$A$15,'Vendor Master'!$B$6:$B$15,""),"")</f>
        <v/>
      </c>
      <c r="J1256">
        <f>IF(A1256="","",TEXT(A1256,"mmm-yyyy"))</f>
        <v/>
      </c>
    </row>
    <row r="1257">
      <c r="D1257">
        <f>IFERROR(XLOOKUP(C1257,'Vendor Master'!$A$6:$A$15,'Vendor Master'!$B$6:$B$15,""),"")</f>
        <v/>
      </c>
      <c r="J1257">
        <f>IF(A1257="","",TEXT(A1257,"mmm-yyyy"))</f>
        <v/>
      </c>
    </row>
    <row r="1258">
      <c r="D1258">
        <f>IFERROR(XLOOKUP(C1258,'Vendor Master'!$A$6:$A$15,'Vendor Master'!$B$6:$B$15,""),"")</f>
        <v/>
      </c>
      <c r="J1258">
        <f>IF(A1258="","",TEXT(A1258,"mmm-yyyy"))</f>
        <v/>
      </c>
    </row>
    <row r="1259">
      <c r="D1259">
        <f>IFERROR(XLOOKUP(C1259,'Vendor Master'!$A$6:$A$15,'Vendor Master'!$B$6:$B$15,""),"")</f>
        <v/>
      </c>
      <c r="J1259">
        <f>IF(A1259="","",TEXT(A1259,"mmm-yyyy"))</f>
        <v/>
      </c>
    </row>
    <row r="1260">
      <c r="D1260">
        <f>IFERROR(XLOOKUP(C1260,'Vendor Master'!$A$6:$A$15,'Vendor Master'!$B$6:$B$15,""),"")</f>
        <v/>
      </c>
      <c r="J1260">
        <f>IF(A1260="","",TEXT(A1260,"mmm-yyyy"))</f>
        <v/>
      </c>
    </row>
    <row r="1261">
      <c r="D1261">
        <f>IFERROR(XLOOKUP(C1261,'Vendor Master'!$A$6:$A$15,'Vendor Master'!$B$6:$B$15,""),"")</f>
        <v/>
      </c>
      <c r="J1261">
        <f>IF(A1261="","",TEXT(A1261,"mmm-yyyy"))</f>
        <v/>
      </c>
    </row>
    <row r="1262">
      <c r="D1262">
        <f>IFERROR(XLOOKUP(C1262,'Vendor Master'!$A$6:$A$15,'Vendor Master'!$B$6:$B$15,""),"")</f>
        <v/>
      </c>
      <c r="J1262">
        <f>IF(A1262="","",TEXT(A1262,"mmm-yyyy"))</f>
        <v/>
      </c>
    </row>
    <row r="1263">
      <c r="D1263">
        <f>IFERROR(XLOOKUP(C1263,'Vendor Master'!$A$6:$A$15,'Vendor Master'!$B$6:$B$15,""),"")</f>
        <v/>
      </c>
      <c r="J1263">
        <f>IF(A1263="","",TEXT(A1263,"mmm-yyyy"))</f>
        <v/>
      </c>
    </row>
    <row r="1264">
      <c r="D1264">
        <f>IFERROR(XLOOKUP(C1264,'Vendor Master'!$A$6:$A$15,'Vendor Master'!$B$6:$B$15,""),"")</f>
        <v/>
      </c>
      <c r="J1264">
        <f>IF(A1264="","",TEXT(A1264,"mmm-yyyy"))</f>
        <v/>
      </c>
    </row>
    <row r="1265">
      <c r="D1265">
        <f>IFERROR(XLOOKUP(C1265,'Vendor Master'!$A$6:$A$15,'Vendor Master'!$B$6:$B$15,""),"")</f>
        <v/>
      </c>
      <c r="J1265">
        <f>IF(A1265="","",TEXT(A1265,"mmm-yyyy"))</f>
        <v/>
      </c>
    </row>
    <row r="1266">
      <c r="D1266">
        <f>IFERROR(XLOOKUP(C1266,'Vendor Master'!$A$6:$A$15,'Vendor Master'!$B$6:$B$15,""),"")</f>
        <v/>
      </c>
      <c r="J1266">
        <f>IF(A1266="","",TEXT(A1266,"mmm-yyyy"))</f>
        <v/>
      </c>
    </row>
    <row r="1267">
      <c r="D1267">
        <f>IFERROR(XLOOKUP(C1267,'Vendor Master'!$A$6:$A$15,'Vendor Master'!$B$6:$B$15,""),"")</f>
        <v/>
      </c>
      <c r="J1267">
        <f>IF(A1267="","",TEXT(A1267,"mmm-yyyy"))</f>
        <v/>
      </c>
    </row>
    <row r="1268">
      <c r="D1268">
        <f>IFERROR(XLOOKUP(C1268,'Vendor Master'!$A$6:$A$15,'Vendor Master'!$B$6:$B$15,""),"")</f>
        <v/>
      </c>
      <c r="J1268">
        <f>IF(A1268="","",TEXT(A1268,"mmm-yyyy"))</f>
        <v/>
      </c>
    </row>
    <row r="1269">
      <c r="D1269">
        <f>IFERROR(XLOOKUP(C1269,'Vendor Master'!$A$6:$A$15,'Vendor Master'!$B$6:$B$15,""),"")</f>
        <v/>
      </c>
      <c r="J1269">
        <f>IF(A1269="","",TEXT(A1269,"mmm-yyyy"))</f>
        <v/>
      </c>
    </row>
    <row r="1270">
      <c r="D1270">
        <f>IFERROR(XLOOKUP(C1270,'Vendor Master'!$A$6:$A$15,'Vendor Master'!$B$6:$B$15,""),"")</f>
        <v/>
      </c>
      <c r="J1270">
        <f>IF(A1270="","",TEXT(A1270,"mmm-yyyy"))</f>
        <v/>
      </c>
    </row>
    <row r="1271">
      <c r="D1271">
        <f>IFERROR(XLOOKUP(C1271,'Vendor Master'!$A$6:$A$15,'Vendor Master'!$B$6:$B$15,""),"")</f>
        <v/>
      </c>
      <c r="J1271">
        <f>IF(A1271="","",TEXT(A1271,"mmm-yyyy"))</f>
        <v/>
      </c>
    </row>
    <row r="1272">
      <c r="D1272">
        <f>IFERROR(XLOOKUP(C1272,'Vendor Master'!$A$6:$A$15,'Vendor Master'!$B$6:$B$15,""),"")</f>
        <v/>
      </c>
      <c r="J1272">
        <f>IF(A1272="","",TEXT(A1272,"mmm-yyyy"))</f>
        <v/>
      </c>
    </row>
    <row r="1273">
      <c r="D1273">
        <f>IFERROR(XLOOKUP(C1273,'Vendor Master'!$A$6:$A$15,'Vendor Master'!$B$6:$B$15,""),"")</f>
        <v/>
      </c>
      <c r="J1273">
        <f>IF(A1273="","",TEXT(A1273,"mmm-yyyy"))</f>
        <v/>
      </c>
    </row>
    <row r="1274">
      <c r="D1274">
        <f>IFERROR(XLOOKUP(C1274,'Vendor Master'!$A$6:$A$15,'Vendor Master'!$B$6:$B$15,""),"")</f>
        <v/>
      </c>
      <c r="J1274">
        <f>IF(A1274="","",TEXT(A1274,"mmm-yyyy"))</f>
        <v/>
      </c>
    </row>
    <row r="1275">
      <c r="D1275">
        <f>IFERROR(XLOOKUP(C1275,'Vendor Master'!$A$6:$A$15,'Vendor Master'!$B$6:$B$15,""),"")</f>
        <v/>
      </c>
      <c r="J1275">
        <f>IF(A1275="","",TEXT(A1275,"mmm-yyyy"))</f>
        <v/>
      </c>
    </row>
    <row r="1276">
      <c r="D1276">
        <f>IFERROR(XLOOKUP(C1276,'Vendor Master'!$A$6:$A$15,'Vendor Master'!$B$6:$B$15,""),"")</f>
        <v/>
      </c>
      <c r="J1276">
        <f>IF(A1276="","",TEXT(A1276,"mmm-yyyy"))</f>
        <v/>
      </c>
    </row>
    <row r="1277">
      <c r="D1277">
        <f>IFERROR(XLOOKUP(C1277,'Vendor Master'!$A$6:$A$15,'Vendor Master'!$B$6:$B$15,""),"")</f>
        <v/>
      </c>
      <c r="J1277">
        <f>IF(A1277="","",TEXT(A1277,"mmm-yyyy"))</f>
        <v/>
      </c>
    </row>
    <row r="1278">
      <c r="D1278">
        <f>IFERROR(XLOOKUP(C1278,'Vendor Master'!$A$6:$A$15,'Vendor Master'!$B$6:$B$15,""),"")</f>
        <v/>
      </c>
      <c r="J1278">
        <f>IF(A1278="","",TEXT(A1278,"mmm-yyyy"))</f>
        <v/>
      </c>
    </row>
    <row r="1279">
      <c r="D1279">
        <f>IFERROR(XLOOKUP(C1279,'Vendor Master'!$A$6:$A$15,'Vendor Master'!$B$6:$B$15,""),"")</f>
        <v/>
      </c>
      <c r="J1279">
        <f>IF(A1279="","",TEXT(A1279,"mmm-yyyy"))</f>
        <v/>
      </c>
    </row>
    <row r="1280">
      <c r="D1280">
        <f>IFERROR(XLOOKUP(C1280,'Vendor Master'!$A$6:$A$15,'Vendor Master'!$B$6:$B$15,""),"")</f>
        <v/>
      </c>
      <c r="J1280">
        <f>IF(A1280="","",TEXT(A1280,"mmm-yyyy"))</f>
        <v/>
      </c>
    </row>
    <row r="1281">
      <c r="D1281">
        <f>IFERROR(XLOOKUP(C1281,'Vendor Master'!$A$6:$A$15,'Vendor Master'!$B$6:$B$15,""),"")</f>
        <v/>
      </c>
      <c r="J1281">
        <f>IF(A1281="","",TEXT(A1281,"mmm-yyyy"))</f>
        <v/>
      </c>
    </row>
    <row r="1282">
      <c r="D1282">
        <f>IFERROR(XLOOKUP(C1282,'Vendor Master'!$A$6:$A$15,'Vendor Master'!$B$6:$B$15,""),"")</f>
        <v/>
      </c>
      <c r="J1282">
        <f>IF(A1282="","",TEXT(A1282,"mmm-yyyy"))</f>
        <v/>
      </c>
    </row>
    <row r="1283">
      <c r="D1283">
        <f>IFERROR(XLOOKUP(C1283,'Vendor Master'!$A$6:$A$15,'Vendor Master'!$B$6:$B$15,""),"")</f>
        <v/>
      </c>
      <c r="J1283">
        <f>IF(A1283="","",TEXT(A1283,"mmm-yyyy"))</f>
        <v/>
      </c>
    </row>
    <row r="1284">
      <c r="D1284">
        <f>IFERROR(XLOOKUP(C1284,'Vendor Master'!$A$6:$A$15,'Vendor Master'!$B$6:$B$15,""),"")</f>
        <v/>
      </c>
      <c r="J1284">
        <f>IF(A1284="","",TEXT(A1284,"mmm-yyyy"))</f>
        <v/>
      </c>
    </row>
    <row r="1285">
      <c r="D1285">
        <f>IFERROR(XLOOKUP(C1285,'Vendor Master'!$A$6:$A$15,'Vendor Master'!$B$6:$B$15,""),"")</f>
        <v/>
      </c>
      <c r="J1285">
        <f>IF(A1285="","",TEXT(A1285,"mmm-yyyy"))</f>
        <v/>
      </c>
    </row>
    <row r="1286">
      <c r="D1286">
        <f>IFERROR(XLOOKUP(C1286,'Vendor Master'!$A$6:$A$15,'Vendor Master'!$B$6:$B$15,""),"")</f>
        <v/>
      </c>
      <c r="J1286">
        <f>IF(A1286="","",TEXT(A1286,"mmm-yyyy"))</f>
        <v/>
      </c>
    </row>
    <row r="1287">
      <c r="D1287">
        <f>IFERROR(XLOOKUP(C1287,'Vendor Master'!$A$6:$A$15,'Vendor Master'!$B$6:$B$15,""),"")</f>
        <v/>
      </c>
      <c r="J1287">
        <f>IF(A1287="","",TEXT(A1287,"mmm-yyyy"))</f>
        <v/>
      </c>
    </row>
    <row r="1288">
      <c r="D1288">
        <f>IFERROR(XLOOKUP(C1288,'Vendor Master'!$A$6:$A$15,'Vendor Master'!$B$6:$B$15,""),"")</f>
        <v/>
      </c>
      <c r="J1288">
        <f>IF(A1288="","",TEXT(A1288,"mmm-yyyy"))</f>
        <v/>
      </c>
    </row>
    <row r="1289">
      <c r="D1289">
        <f>IFERROR(XLOOKUP(C1289,'Vendor Master'!$A$6:$A$15,'Vendor Master'!$B$6:$B$15,""),"")</f>
        <v/>
      </c>
      <c r="J1289">
        <f>IF(A1289="","",TEXT(A1289,"mmm-yyyy"))</f>
        <v/>
      </c>
    </row>
    <row r="1290">
      <c r="D1290">
        <f>IFERROR(XLOOKUP(C1290,'Vendor Master'!$A$6:$A$15,'Vendor Master'!$B$6:$B$15,""),"")</f>
        <v/>
      </c>
      <c r="J1290">
        <f>IF(A1290="","",TEXT(A1290,"mmm-yyyy"))</f>
        <v/>
      </c>
    </row>
    <row r="1291">
      <c r="D1291">
        <f>IFERROR(XLOOKUP(C1291,'Vendor Master'!$A$6:$A$15,'Vendor Master'!$B$6:$B$15,""),"")</f>
        <v/>
      </c>
      <c r="J1291">
        <f>IF(A1291="","",TEXT(A1291,"mmm-yyyy"))</f>
        <v/>
      </c>
    </row>
    <row r="1292">
      <c r="D1292">
        <f>IFERROR(XLOOKUP(C1292,'Vendor Master'!$A$6:$A$15,'Vendor Master'!$B$6:$B$15,""),"")</f>
        <v/>
      </c>
      <c r="J1292">
        <f>IF(A1292="","",TEXT(A1292,"mmm-yyyy"))</f>
        <v/>
      </c>
    </row>
    <row r="1293">
      <c r="D1293">
        <f>IFERROR(XLOOKUP(C1293,'Vendor Master'!$A$6:$A$15,'Vendor Master'!$B$6:$B$15,""),"")</f>
        <v/>
      </c>
      <c r="J1293">
        <f>IF(A1293="","",TEXT(A1293,"mmm-yyyy"))</f>
        <v/>
      </c>
    </row>
    <row r="1294">
      <c r="D1294">
        <f>IFERROR(XLOOKUP(C1294,'Vendor Master'!$A$6:$A$15,'Vendor Master'!$B$6:$B$15,""),"")</f>
        <v/>
      </c>
      <c r="J1294">
        <f>IF(A1294="","",TEXT(A1294,"mmm-yyyy"))</f>
        <v/>
      </c>
    </row>
    <row r="1295">
      <c r="D1295">
        <f>IFERROR(XLOOKUP(C1295,'Vendor Master'!$A$6:$A$15,'Vendor Master'!$B$6:$B$15,""),"")</f>
        <v/>
      </c>
      <c r="J1295">
        <f>IF(A1295="","",TEXT(A1295,"mmm-yyyy"))</f>
        <v/>
      </c>
    </row>
    <row r="1296">
      <c r="D1296">
        <f>IFERROR(XLOOKUP(C1296,'Vendor Master'!$A$6:$A$15,'Vendor Master'!$B$6:$B$15,""),"")</f>
        <v/>
      </c>
      <c r="J1296">
        <f>IF(A1296="","",TEXT(A1296,"mmm-yyyy"))</f>
        <v/>
      </c>
    </row>
    <row r="1297">
      <c r="D1297">
        <f>IFERROR(XLOOKUP(C1297,'Vendor Master'!$A$6:$A$15,'Vendor Master'!$B$6:$B$15,""),"")</f>
        <v/>
      </c>
      <c r="J1297">
        <f>IF(A1297="","",TEXT(A1297,"mmm-yyyy"))</f>
        <v/>
      </c>
    </row>
    <row r="1298">
      <c r="D1298">
        <f>IFERROR(XLOOKUP(C1298,'Vendor Master'!$A$6:$A$15,'Vendor Master'!$B$6:$B$15,""),"")</f>
        <v/>
      </c>
      <c r="J1298">
        <f>IF(A1298="","",TEXT(A1298,"mmm-yyyy"))</f>
        <v/>
      </c>
    </row>
    <row r="1299">
      <c r="D1299">
        <f>IFERROR(XLOOKUP(C1299,'Vendor Master'!$A$6:$A$15,'Vendor Master'!$B$6:$B$15,""),"")</f>
        <v/>
      </c>
      <c r="J1299">
        <f>IF(A1299="","",TEXT(A1299,"mmm-yyyy"))</f>
        <v/>
      </c>
    </row>
    <row r="1300">
      <c r="D1300">
        <f>IFERROR(XLOOKUP(C1300,'Vendor Master'!$A$6:$A$15,'Vendor Master'!$B$6:$B$15,""),"")</f>
        <v/>
      </c>
      <c r="J1300">
        <f>IF(A1300="","",TEXT(A1300,"mmm-yyyy"))</f>
        <v/>
      </c>
    </row>
    <row r="1301">
      <c r="D1301">
        <f>IFERROR(XLOOKUP(C1301,'Vendor Master'!$A$6:$A$15,'Vendor Master'!$B$6:$B$15,""),"")</f>
        <v/>
      </c>
      <c r="J1301">
        <f>IF(A1301="","",TEXT(A1301,"mmm-yyyy"))</f>
        <v/>
      </c>
    </row>
    <row r="1302">
      <c r="D1302">
        <f>IFERROR(XLOOKUP(C1302,'Vendor Master'!$A$6:$A$15,'Vendor Master'!$B$6:$B$15,""),"")</f>
        <v/>
      </c>
      <c r="J1302">
        <f>IF(A1302="","",TEXT(A1302,"mmm-yyyy"))</f>
        <v/>
      </c>
    </row>
    <row r="1303">
      <c r="D1303">
        <f>IFERROR(XLOOKUP(C1303,'Vendor Master'!$A$6:$A$15,'Vendor Master'!$B$6:$B$15,""),"")</f>
        <v/>
      </c>
      <c r="J1303">
        <f>IF(A1303="","",TEXT(A1303,"mmm-yyyy"))</f>
        <v/>
      </c>
    </row>
    <row r="1304">
      <c r="D1304">
        <f>IFERROR(XLOOKUP(C1304,'Vendor Master'!$A$6:$A$15,'Vendor Master'!$B$6:$B$15,""),"")</f>
        <v/>
      </c>
      <c r="J1304">
        <f>IF(A1304="","",TEXT(A1304,"mmm-yyyy"))</f>
        <v/>
      </c>
    </row>
    <row r="1305">
      <c r="D1305">
        <f>IFERROR(XLOOKUP(C1305,'Vendor Master'!$A$6:$A$15,'Vendor Master'!$B$6:$B$15,""),"")</f>
        <v/>
      </c>
      <c r="J1305">
        <f>IF(A1305="","",TEXT(A1305,"mmm-yyyy"))</f>
        <v/>
      </c>
    </row>
    <row r="1306">
      <c r="D1306">
        <f>IFERROR(XLOOKUP(C1306,'Vendor Master'!$A$6:$A$15,'Vendor Master'!$B$6:$B$15,""),"")</f>
        <v/>
      </c>
      <c r="J1306">
        <f>IF(A1306="","",TEXT(A1306,"mmm-yyyy"))</f>
        <v/>
      </c>
    </row>
    <row r="1307">
      <c r="D1307">
        <f>IFERROR(XLOOKUP(C1307,'Vendor Master'!$A$6:$A$15,'Vendor Master'!$B$6:$B$15,""),"")</f>
        <v/>
      </c>
      <c r="J1307">
        <f>IF(A1307="","",TEXT(A1307,"mmm-yyyy"))</f>
        <v/>
      </c>
    </row>
    <row r="1308">
      <c r="D1308">
        <f>IFERROR(XLOOKUP(C1308,'Vendor Master'!$A$6:$A$15,'Vendor Master'!$B$6:$B$15,""),"")</f>
        <v/>
      </c>
      <c r="J1308">
        <f>IF(A1308="","",TEXT(A1308,"mmm-yyyy"))</f>
        <v/>
      </c>
    </row>
    <row r="1309">
      <c r="D1309">
        <f>IFERROR(XLOOKUP(C1309,'Vendor Master'!$A$6:$A$15,'Vendor Master'!$B$6:$B$15,""),"")</f>
        <v/>
      </c>
      <c r="J1309">
        <f>IF(A1309="","",TEXT(A1309,"mmm-yyyy"))</f>
        <v/>
      </c>
    </row>
    <row r="1310">
      <c r="D1310">
        <f>IFERROR(XLOOKUP(C1310,'Vendor Master'!$A$6:$A$15,'Vendor Master'!$B$6:$B$15,""),"")</f>
        <v/>
      </c>
      <c r="J1310">
        <f>IF(A1310="","",TEXT(A1310,"mmm-yyyy"))</f>
        <v/>
      </c>
    </row>
    <row r="1311">
      <c r="D1311">
        <f>IFERROR(XLOOKUP(C1311,'Vendor Master'!$A$6:$A$15,'Vendor Master'!$B$6:$B$15,""),"")</f>
        <v/>
      </c>
      <c r="J1311">
        <f>IF(A1311="","",TEXT(A1311,"mmm-yyyy"))</f>
        <v/>
      </c>
    </row>
    <row r="1312">
      <c r="D1312">
        <f>IFERROR(XLOOKUP(C1312,'Vendor Master'!$A$6:$A$15,'Vendor Master'!$B$6:$B$15,""),"")</f>
        <v/>
      </c>
      <c r="J1312">
        <f>IF(A1312="","",TEXT(A1312,"mmm-yyyy"))</f>
        <v/>
      </c>
    </row>
    <row r="1313">
      <c r="D1313">
        <f>IFERROR(XLOOKUP(C1313,'Vendor Master'!$A$6:$A$15,'Vendor Master'!$B$6:$B$15,""),"")</f>
        <v/>
      </c>
      <c r="J1313">
        <f>IF(A1313="","",TEXT(A1313,"mmm-yyyy"))</f>
        <v/>
      </c>
    </row>
    <row r="1314">
      <c r="D1314">
        <f>IFERROR(XLOOKUP(C1314,'Vendor Master'!$A$6:$A$15,'Vendor Master'!$B$6:$B$15,""),"")</f>
        <v/>
      </c>
      <c r="J1314">
        <f>IF(A1314="","",TEXT(A1314,"mmm-yyyy"))</f>
        <v/>
      </c>
    </row>
    <row r="1315">
      <c r="D1315">
        <f>IFERROR(XLOOKUP(C1315,'Vendor Master'!$A$6:$A$15,'Vendor Master'!$B$6:$B$15,""),"")</f>
        <v/>
      </c>
      <c r="J1315">
        <f>IF(A1315="","",TEXT(A1315,"mmm-yyyy"))</f>
        <v/>
      </c>
    </row>
    <row r="1316">
      <c r="D1316">
        <f>IFERROR(XLOOKUP(C1316,'Vendor Master'!$A$6:$A$15,'Vendor Master'!$B$6:$B$15,""),"")</f>
        <v/>
      </c>
      <c r="J1316">
        <f>IF(A1316="","",TEXT(A1316,"mmm-yyyy"))</f>
        <v/>
      </c>
    </row>
    <row r="1317">
      <c r="D1317">
        <f>IFERROR(XLOOKUP(C1317,'Vendor Master'!$A$6:$A$15,'Vendor Master'!$B$6:$B$15,""),"")</f>
        <v/>
      </c>
      <c r="J1317">
        <f>IF(A1317="","",TEXT(A1317,"mmm-yyyy"))</f>
        <v/>
      </c>
    </row>
    <row r="1318">
      <c r="D1318">
        <f>IFERROR(XLOOKUP(C1318,'Vendor Master'!$A$6:$A$15,'Vendor Master'!$B$6:$B$15,""),"")</f>
        <v/>
      </c>
      <c r="J1318">
        <f>IF(A1318="","",TEXT(A1318,"mmm-yyyy"))</f>
        <v/>
      </c>
    </row>
    <row r="1319">
      <c r="D1319">
        <f>IFERROR(XLOOKUP(C1319,'Vendor Master'!$A$6:$A$15,'Vendor Master'!$B$6:$B$15,""),"")</f>
        <v/>
      </c>
      <c r="J1319">
        <f>IF(A1319="","",TEXT(A1319,"mmm-yyyy"))</f>
        <v/>
      </c>
    </row>
    <row r="1320">
      <c r="D1320">
        <f>IFERROR(XLOOKUP(C1320,'Vendor Master'!$A$6:$A$15,'Vendor Master'!$B$6:$B$15,""),"")</f>
        <v/>
      </c>
      <c r="J1320">
        <f>IF(A1320="","",TEXT(A1320,"mmm-yyyy"))</f>
        <v/>
      </c>
    </row>
    <row r="1321">
      <c r="D1321">
        <f>IFERROR(XLOOKUP(C1321,'Vendor Master'!$A$6:$A$15,'Vendor Master'!$B$6:$B$15,""),"")</f>
        <v/>
      </c>
      <c r="J1321">
        <f>IF(A1321="","",TEXT(A1321,"mmm-yyyy"))</f>
        <v/>
      </c>
    </row>
    <row r="1322">
      <c r="D1322">
        <f>IFERROR(XLOOKUP(C1322,'Vendor Master'!$A$6:$A$15,'Vendor Master'!$B$6:$B$15,""),"")</f>
        <v/>
      </c>
      <c r="J1322">
        <f>IF(A1322="","",TEXT(A1322,"mmm-yyyy"))</f>
        <v/>
      </c>
    </row>
    <row r="1323">
      <c r="D1323">
        <f>IFERROR(XLOOKUP(C1323,'Vendor Master'!$A$6:$A$15,'Vendor Master'!$B$6:$B$15,""),"")</f>
        <v/>
      </c>
      <c r="J1323">
        <f>IF(A1323="","",TEXT(A1323,"mmm-yyyy"))</f>
        <v/>
      </c>
    </row>
    <row r="1324">
      <c r="D1324">
        <f>IFERROR(XLOOKUP(C1324,'Vendor Master'!$A$6:$A$15,'Vendor Master'!$B$6:$B$15,""),"")</f>
        <v/>
      </c>
      <c r="J1324">
        <f>IF(A1324="","",TEXT(A1324,"mmm-yyyy"))</f>
        <v/>
      </c>
    </row>
    <row r="1325">
      <c r="D1325">
        <f>IFERROR(XLOOKUP(C1325,'Vendor Master'!$A$6:$A$15,'Vendor Master'!$B$6:$B$15,""),"")</f>
        <v/>
      </c>
      <c r="J1325">
        <f>IF(A1325="","",TEXT(A1325,"mmm-yyyy"))</f>
        <v/>
      </c>
    </row>
    <row r="1326">
      <c r="D1326">
        <f>IFERROR(XLOOKUP(C1326,'Vendor Master'!$A$6:$A$15,'Vendor Master'!$B$6:$B$15,""),"")</f>
        <v/>
      </c>
      <c r="J1326">
        <f>IF(A1326="","",TEXT(A1326,"mmm-yyyy"))</f>
        <v/>
      </c>
    </row>
    <row r="1327">
      <c r="D1327">
        <f>IFERROR(XLOOKUP(C1327,'Vendor Master'!$A$6:$A$15,'Vendor Master'!$B$6:$B$15,""),"")</f>
        <v/>
      </c>
      <c r="J1327">
        <f>IF(A1327="","",TEXT(A1327,"mmm-yyyy"))</f>
        <v/>
      </c>
    </row>
    <row r="1328">
      <c r="D1328">
        <f>IFERROR(XLOOKUP(C1328,'Vendor Master'!$A$6:$A$15,'Vendor Master'!$B$6:$B$15,""),"")</f>
        <v/>
      </c>
      <c r="J1328">
        <f>IF(A1328="","",TEXT(A1328,"mmm-yyyy"))</f>
        <v/>
      </c>
    </row>
    <row r="1329">
      <c r="D1329">
        <f>IFERROR(XLOOKUP(C1329,'Vendor Master'!$A$6:$A$15,'Vendor Master'!$B$6:$B$15,""),"")</f>
        <v/>
      </c>
      <c r="J1329">
        <f>IF(A1329="","",TEXT(A1329,"mmm-yyyy"))</f>
        <v/>
      </c>
    </row>
    <row r="1330">
      <c r="D1330">
        <f>IFERROR(XLOOKUP(C1330,'Vendor Master'!$A$6:$A$15,'Vendor Master'!$B$6:$B$15,""),"")</f>
        <v/>
      </c>
      <c r="J1330">
        <f>IF(A1330="","",TEXT(A1330,"mmm-yyyy"))</f>
        <v/>
      </c>
    </row>
    <row r="1331">
      <c r="D1331">
        <f>IFERROR(XLOOKUP(C1331,'Vendor Master'!$A$6:$A$15,'Vendor Master'!$B$6:$B$15,""),"")</f>
        <v/>
      </c>
      <c r="J1331">
        <f>IF(A1331="","",TEXT(A1331,"mmm-yyyy"))</f>
        <v/>
      </c>
    </row>
    <row r="1332">
      <c r="D1332">
        <f>IFERROR(XLOOKUP(C1332,'Vendor Master'!$A$6:$A$15,'Vendor Master'!$B$6:$B$15,""),"")</f>
        <v/>
      </c>
      <c r="J1332">
        <f>IF(A1332="","",TEXT(A1332,"mmm-yyyy"))</f>
        <v/>
      </c>
    </row>
    <row r="1333">
      <c r="D1333">
        <f>IFERROR(XLOOKUP(C1333,'Vendor Master'!$A$6:$A$15,'Vendor Master'!$B$6:$B$15,""),"")</f>
        <v/>
      </c>
      <c r="J1333">
        <f>IF(A1333="","",TEXT(A1333,"mmm-yyyy"))</f>
        <v/>
      </c>
    </row>
    <row r="1334">
      <c r="D1334">
        <f>IFERROR(XLOOKUP(C1334,'Vendor Master'!$A$6:$A$15,'Vendor Master'!$B$6:$B$15,""),"")</f>
        <v/>
      </c>
      <c r="J1334">
        <f>IF(A1334="","",TEXT(A1334,"mmm-yyyy"))</f>
        <v/>
      </c>
    </row>
    <row r="1335">
      <c r="D1335">
        <f>IFERROR(XLOOKUP(C1335,'Vendor Master'!$A$6:$A$15,'Vendor Master'!$B$6:$B$15,""),"")</f>
        <v/>
      </c>
      <c r="J1335">
        <f>IF(A1335="","",TEXT(A1335,"mmm-yyyy"))</f>
        <v/>
      </c>
    </row>
    <row r="1336">
      <c r="D1336">
        <f>IFERROR(XLOOKUP(C1336,'Vendor Master'!$A$6:$A$15,'Vendor Master'!$B$6:$B$15,""),"")</f>
        <v/>
      </c>
      <c r="J1336">
        <f>IF(A1336="","",TEXT(A1336,"mmm-yyyy"))</f>
        <v/>
      </c>
    </row>
    <row r="1337">
      <c r="D1337">
        <f>IFERROR(XLOOKUP(C1337,'Vendor Master'!$A$6:$A$15,'Vendor Master'!$B$6:$B$15,""),"")</f>
        <v/>
      </c>
      <c r="J1337">
        <f>IF(A1337="","",TEXT(A1337,"mmm-yyyy"))</f>
        <v/>
      </c>
    </row>
    <row r="1338">
      <c r="D1338">
        <f>IFERROR(XLOOKUP(C1338,'Vendor Master'!$A$6:$A$15,'Vendor Master'!$B$6:$B$15,""),"")</f>
        <v/>
      </c>
      <c r="J1338">
        <f>IF(A1338="","",TEXT(A1338,"mmm-yyyy"))</f>
        <v/>
      </c>
    </row>
    <row r="1339">
      <c r="D1339">
        <f>IFERROR(XLOOKUP(C1339,'Vendor Master'!$A$6:$A$15,'Vendor Master'!$B$6:$B$15,""),"")</f>
        <v/>
      </c>
      <c r="J1339">
        <f>IF(A1339="","",TEXT(A1339,"mmm-yyyy"))</f>
        <v/>
      </c>
    </row>
    <row r="1340">
      <c r="D1340">
        <f>IFERROR(XLOOKUP(C1340,'Vendor Master'!$A$6:$A$15,'Vendor Master'!$B$6:$B$15,""),"")</f>
        <v/>
      </c>
      <c r="J1340">
        <f>IF(A1340="","",TEXT(A1340,"mmm-yyyy"))</f>
        <v/>
      </c>
    </row>
    <row r="1341">
      <c r="D1341">
        <f>IFERROR(XLOOKUP(C1341,'Vendor Master'!$A$6:$A$15,'Vendor Master'!$B$6:$B$15,""),"")</f>
        <v/>
      </c>
      <c r="J1341">
        <f>IF(A1341="","",TEXT(A1341,"mmm-yyyy"))</f>
        <v/>
      </c>
    </row>
    <row r="1342">
      <c r="D1342">
        <f>IFERROR(XLOOKUP(C1342,'Vendor Master'!$A$6:$A$15,'Vendor Master'!$B$6:$B$15,""),"")</f>
        <v/>
      </c>
      <c r="J1342">
        <f>IF(A1342="","",TEXT(A1342,"mmm-yyyy"))</f>
        <v/>
      </c>
    </row>
    <row r="1343">
      <c r="D1343">
        <f>IFERROR(XLOOKUP(C1343,'Vendor Master'!$A$6:$A$15,'Vendor Master'!$B$6:$B$15,""),"")</f>
        <v/>
      </c>
      <c r="J1343">
        <f>IF(A1343="","",TEXT(A1343,"mmm-yyyy"))</f>
        <v/>
      </c>
    </row>
    <row r="1344">
      <c r="D1344">
        <f>IFERROR(XLOOKUP(C1344,'Vendor Master'!$A$6:$A$15,'Vendor Master'!$B$6:$B$15,""),"")</f>
        <v/>
      </c>
      <c r="J1344">
        <f>IF(A1344="","",TEXT(A1344,"mmm-yyyy"))</f>
        <v/>
      </c>
    </row>
    <row r="1345">
      <c r="D1345">
        <f>IFERROR(XLOOKUP(C1345,'Vendor Master'!$A$6:$A$15,'Vendor Master'!$B$6:$B$15,""),"")</f>
        <v/>
      </c>
      <c r="J1345">
        <f>IF(A1345="","",TEXT(A1345,"mmm-yyyy"))</f>
        <v/>
      </c>
    </row>
    <row r="1346">
      <c r="D1346">
        <f>IFERROR(XLOOKUP(C1346,'Vendor Master'!$A$6:$A$15,'Vendor Master'!$B$6:$B$15,""),"")</f>
        <v/>
      </c>
      <c r="J1346">
        <f>IF(A1346="","",TEXT(A1346,"mmm-yyyy"))</f>
        <v/>
      </c>
    </row>
    <row r="1347">
      <c r="D1347">
        <f>IFERROR(XLOOKUP(C1347,'Vendor Master'!$A$6:$A$15,'Vendor Master'!$B$6:$B$15,""),"")</f>
        <v/>
      </c>
      <c r="J1347">
        <f>IF(A1347="","",TEXT(A1347,"mmm-yyyy"))</f>
        <v/>
      </c>
    </row>
    <row r="1348">
      <c r="D1348">
        <f>IFERROR(XLOOKUP(C1348,'Vendor Master'!$A$6:$A$15,'Vendor Master'!$B$6:$B$15,""),"")</f>
        <v/>
      </c>
      <c r="J1348">
        <f>IF(A1348="","",TEXT(A1348,"mmm-yyyy"))</f>
        <v/>
      </c>
    </row>
    <row r="1349">
      <c r="D1349">
        <f>IFERROR(XLOOKUP(C1349,'Vendor Master'!$A$6:$A$15,'Vendor Master'!$B$6:$B$15,""),"")</f>
        <v/>
      </c>
      <c r="J1349">
        <f>IF(A1349="","",TEXT(A1349,"mmm-yyyy"))</f>
        <v/>
      </c>
    </row>
    <row r="1350">
      <c r="D1350">
        <f>IFERROR(XLOOKUP(C1350,'Vendor Master'!$A$6:$A$15,'Vendor Master'!$B$6:$B$15,""),"")</f>
        <v/>
      </c>
      <c r="J1350">
        <f>IF(A1350="","",TEXT(A1350,"mmm-yyyy"))</f>
        <v/>
      </c>
    </row>
    <row r="1351">
      <c r="D1351">
        <f>IFERROR(XLOOKUP(C1351,'Vendor Master'!$A$6:$A$15,'Vendor Master'!$B$6:$B$15,""),"")</f>
        <v/>
      </c>
      <c r="J1351">
        <f>IF(A1351="","",TEXT(A1351,"mmm-yyyy"))</f>
        <v/>
      </c>
    </row>
    <row r="1352">
      <c r="D1352">
        <f>IFERROR(XLOOKUP(C1352,'Vendor Master'!$A$6:$A$15,'Vendor Master'!$B$6:$B$15,""),"")</f>
        <v/>
      </c>
      <c r="J1352">
        <f>IF(A1352="","",TEXT(A1352,"mmm-yyyy"))</f>
        <v/>
      </c>
    </row>
    <row r="1353">
      <c r="D1353">
        <f>IFERROR(XLOOKUP(C1353,'Vendor Master'!$A$6:$A$15,'Vendor Master'!$B$6:$B$15,""),"")</f>
        <v/>
      </c>
      <c r="J1353">
        <f>IF(A1353="","",TEXT(A1353,"mmm-yyyy"))</f>
        <v/>
      </c>
    </row>
    <row r="1354">
      <c r="D1354">
        <f>IFERROR(XLOOKUP(C1354,'Vendor Master'!$A$6:$A$15,'Vendor Master'!$B$6:$B$15,""),"")</f>
        <v/>
      </c>
      <c r="J1354">
        <f>IF(A1354="","",TEXT(A1354,"mmm-yyyy"))</f>
        <v/>
      </c>
    </row>
    <row r="1355">
      <c r="D1355">
        <f>IFERROR(XLOOKUP(C1355,'Vendor Master'!$A$6:$A$15,'Vendor Master'!$B$6:$B$15,""),"")</f>
        <v/>
      </c>
      <c r="J1355">
        <f>IF(A1355="","",TEXT(A1355,"mmm-yyyy"))</f>
        <v/>
      </c>
    </row>
    <row r="1356">
      <c r="D1356">
        <f>IFERROR(XLOOKUP(C1356,'Vendor Master'!$A$6:$A$15,'Vendor Master'!$B$6:$B$15,""),"")</f>
        <v/>
      </c>
      <c r="J1356">
        <f>IF(A1356="","",TEXT(A1356,"mmm-yyyy"))</f>
        <v/>
      </c>
    </row>
    <row r="1357">
      <c r="D1357">
        <f>IFERROR(XLOOKUP(C1357,'Vendor Master'!$A$6:$A$15,'Vendor Master'!$B$6:$B$15,""),"")</f>
        <v/>
      </c>
      <c r="J1357">
        <f>IF(A1357="","",TEXT(A1357,"mmm-yyyy"))</f>
        <v/>
      </c>
    </row>
    <row r="1358">
      <c r="D1358">
        <f>IFERROR(XLOOKUP(C1358,'Vendor Master'!$A$6:$A$15,'Vendor Master'!$B$6:$B$15,""),"")</f>
        <v/>
      </c>
      <c r="J1358">
        <f>IF(A1358="","",TEXT(A1358,"mmm-yyyy"))</f>
        <v/>
      </c>
    </row>
    <row r="1359">
      <c r="D1359">
        <f>IFERROR(XLOOKUP(C1359,'Vendor Master'!$A$6:$A$15,'Vendor Master'!$B$6:$B$15,""),"")</f>
        <v/>
      </c>
      <c r="J1359">
        <f>IF(A1359="","",TEXT(A1359,"mmm-yyyy"))</f>
        <v/>
      </c>
    </row>
    <row r="1360">
      <c r="D1360">
        <f>IFERROR(XLOOKUP(C1360,'Vendor Master'!$A$6:$A$15,'Vendor Master'!$B$6:$B$15,""),"")</f>
        <v/>
      </c>
      <c r="J1360">
        <f>IF(A1360="","",TEXT(A1360,"mmm-yyyy"))</f>
        <v/>
      </c>
    </row>
    <row r="1361">
      <c r="D1361">
        <f>IFERROR(XLOOKUP(C1361,'Vendor Master'!$A$6:$A$15,'Vendor Master'!$B$6:$B$15,""),"")</f>
        <v/>
      </c>
      <c r="J1361">
        <f>IF(A1361="","",TEXT(A1361,"mmm-yyyy"))</f>
        <v/>
      </c>
    </row>
    <row r="1362">
      <c r="D1362">
        <f>IFERROR(XLOOKUP(C1362,'Vendor Master'!$A$6:$A$15,'Vendor Master'!$B$6:$B$15,""),"")</f>
        <v/>
      </c>
      <c r="J1362">
        <f>IF(A1362="","",TEXT(A1362,"mmm-yyyy"))</f>
        <v/>
      </c>
    </row>
    <row r="1363">
      <c r="D1363">
        <f>IFERROR(XLOOKUP(C1363,'Vendor Master'!$A$6:$A$15,'Vendor Master'!$B$6:$B$15,""),"")</f>
        <v/>
      </c>
      <c r="J1363">
        <f>IF(A1363="","",TEXT(A1363,"mmm-yyyy"))</f>
        <v/>
      </c>
    </row>
    <row r="1364">
      <c r="D1364">
        <f>IFERROR(XLOOKUP(C1364,'Vendor Master'!$A$6:$A$15,'Vendor Master'!$B$6:$B$15,""),"")</f>
        <v/>
      </c>
      <c r="J1364">
        <f>IF(A1364="","",TEXT(A1364,"mmm-yyyy"))</f>
        <v/>
      </c>
    </row>
    <row r="1365">
      <c r="D1365">
        <f>IFERROR(XLOOKUP(C1365,'Vendor Master'!$A$6:$A$15,'Vendor Master'!$B$6:$B$15,""),"")</f>
        <v/>
      </c>
      <c r="J1365">
        <f>IF(A1365="","",TEXT(A1365,"mmm-yyyy"))</f>
        <v/>
      </c>
    </row>
    <row r="1366">
      <c r="D1366">
        <f>IFERROR(XLOOKUP(C1366,'Vendor Master'!$A$6:$A$15,'Vendor Master'!$B$6:$B$15,""),"")</f>
        <v/>
      </c>
      <c r="J1366">
        <f>IF(A1366="","",TEXT(A1366,"mmm-yyyy"))</f>
        <v/>
      </c>
    </row>
    <row r="1367">
      <c r="D1367">
        <f>IFERROR(XLOOKUP(C1367,'Vendor Master'!$A$6:$A$15,'Vendor Master'!$B$6:$B$15,""),"")</f>
        <v/>
      </c>
      <c r="J1367">
        <f>IF(A1367="","",TEXT(A1367,"mmm-yyyy"))</f>
        <v/>
      </c>
    </row>
    <row r="1368">
      <c r="D1368">
        <f>IFERROR(XLOOKUP(C1368,'Vendor Master'!$A$6:$A$15,'Vendor Master'!$B$6:$B$15,""),"")</f>
        <v/>
      </c>
      <c r="J1368">
        <f>IF(A1368="","",TEXT(A1368,"mmm-yyyy"))</f>
        <v/>
      </c>
    </row>
    <row r="1369">
      <c r="D1369">
        <f>IFERROR(XLOOKUP(C1369,'Vendor Master'!$A$6:$A$15,'Vendor Master'!$B$6:$B$15,""),"")</f>
        <v/>
      </c>
      <c r="J1369">
        <f>IF(A1369="","",TEXT(A1369,"mmm-yyyy"))</f>
        <v/>
      </c>
    </row>
    <row r="1370">
      <c r="D1370">
        <f>IFERROR(XLOOKUP(C1370,'Vendor Master'!$A$6:$A$15,'Vendor Master'!$B$6:$B$15,""),"")</f>
        <v/>
      </c>
      <c r="J1370">
        <f>IF(A1370="","",TEXT(A1370,"mmm-yyyy"))</f>
        <v/>
      </c>
    </row>
    <row r="1371">
      <c r="D1371">
        <f>IFERROR(XLOOKUP(C1371,'Vendor Master'!$A$6:$A$15,'Vendor Master'!$B$6:$B$15,""),"")</f>
        <v/>
      </c>
      <c r="J1371">
        <f>IF(A1371="","",TEXT(A1371,"mmm-yyyy"))</f>
        <v/>
      </c>
    </row>
    <row r="1372">
      <c r="D1372">
        <f>IFERROR(XLOOKUP(C1372,'Vendor Master'!$A$6:$A$15,'Vendor Master'!$B$6:$B$15,""),"")</f>
        <v/>
      </c>
      <c r="J1372">
        <f>IF(A1372="","",TEXT(A1372,"mmm-yyyy"))</f>
        <v/>
      </c>
    </row>
    <row r="1373">
      <c r="D1373">
        <f>IFERROR(XLOOKUP(C1373,'Vendor Master'!$A$6:$A$15,'Vendor Master'!$B$6:$B$15,""),"")</f>
        <v/>
      </c>
      <c r="J1373">
        <f>IF(A1373="","",TEXT(A1373,"mmm-yyyy"))</f>
        <v/>
      </c>
    </row>
    <row r="1374">
      <c r="D1374">
        <f>IFERROR(XLOOKUP(C1374,'Vendor Master'!$A$6:$A$15,'Vendor Master'!$B$6:$B$15,""),"")</f>
        <v/>
      </c>
      <c r="J1374">
        <f>IF(A1374="","",TEXT(A1374,"mmm-yyyy"))</f>
        <v/>
      </c>
    </row>
    <row r="1375">
      <c r="D1375">
        <f>IFERROR(XLOOKUP(C1375,'Vendor Master'!$A$6:$A$15,'Vendor Master'!$B$6:$B$15,""),"")</f>
        <v/>
      </c>
      <c r="J1375">
        <f>IF(A1375="","",TEXT(A1375,"mmm-yyyy"))</f>
        <v/>
      </c>
    </row>
    <row r="1376">
      <c r="D1376">
        <f>IFERROR(XLOOKUP(C1376,'Vendor Master'!$A$6:$A$15,'Vendor Master'!$B$6:$B$15,""),"")</f>
        <v/>
      </c>
      <c r="J1376">
        <f>IF(A1376="","",TEXT(A1376,"mmm-yyyy"))</f>
        <v/>
      </c>
    </row>
    <row r="1377">
      <c r="D1377">
        <f>IFERROR(XLOOKUP(C1377,'Vendor Master'!$A$6:$A$15,'Vendor Master'!$B$6:$B$15,""),"")</f>
        <v/>
      </c>
      <c r="J1377">
        <f>IF(A1377="","",TEXT(A1377,"mmm-yyyy"))</f>
        <v/>
      </c>
    </row>
    <row r="1378">
      <c r="D1378">
        <f>IFERROR(XLOOKUP(C1378,'Vendor Master'!$A$6:$A$15,'Vendor Master'!$B$6:$B$15,""),"")</f>
        <v/>
      </c>
      <c r="J1378">
        <f>IF(A1378="","",TEXT(A1378,"mmm-yyyy"))</f>
        <v/>
      </c>
    </row>
    <row r="1379">
      <c r="D1379">
        <f>IFERROR(XLOOKUP(C1379,'Vendor Master'!$A$6:$A$15,'Vendor Master'!$B$6:$B$15,""),"")</f>
        <v/>
      </c>
      <c r="J1379">
        <f>IF(A1379="","",TEXT(A1379,"mmm-yyyy"))</f>
        <v/>
      </c>
    </row>
    <row r="1380">
      <c r="D1380">
        <f>IFERROR(XLOOKUP(C1380,'Vendor Master'!$A$6:$A$15,'Vendor Master'!$B$6:$B$15,""),"")</f>
        <v/>
      </c>
      <c r="J1380">
        <f>IF(A1380="","",TEXT(A1380,"mmm-yyyy"))</f>
        <v/>
      </c>
    </row>
    <row r="1381">
      <c r="D1381">
        <f>IFERROR(XLOOKUP(C1381,'Vendor Master'!$A$6:$A$15,'Vendor Master'!$B$6:$B$15,""),"")</f>
        <v/>
      </c>
      <c r="J1381">
        <f>IF(A1381="","",TEXT(A1381,"mmm-yyyy"))</f>
        <v/>
      </c>
    </row>
    <row r="1382">
      <c r="D1382">
        <f>IFERROR(XLOOKUP(C1382,'Vendor Master'!$A$6:$A$15,'Vendor Master'!$B$6:$B$15,""),"")</f>
        <v/>
      </c>
      <c r="J1382">
        <f>IF(A1382="","",TEXT(A1382,"mmm-yyyy"))</f>
        <v/>
      </c>
    </row>
    <row r="1383">
      <c r="D1383">
        <f>IFERROR(XLOOKUP(C1383,'Vendor Master'!$A$6:$A$15,'Vendor Master'!$B$6:$B$15,""),"")</f>
        <v/>
      </c>
      <c r="J1383">
        <f>IF(A1383="","",TEXT(A1383,"mmm-yyyy"))</f>
        <v/>
      </c>
    </row>
    <row r="1384">
      <c r="D1384">
        <f>IFERROR(XLOOKUP(C1384,'Vendor Master'!$A$6:$A$15,'Vendor Master'!$B$6:$B$15,""),"")</f>
        <v/>
      </c>
      <c r="J1384">
        <f>IF(A1384="","",TEXT(A1384,"mmm-yyyy"))</f>
        <v/>
      </c>
    </row>
    <row r="1385">
      <c r="D1385">
        <f>IFERROR(XLOOKUP(C1385,'Vendor Master'!$A$6:$A$15,'Vendor Master'!$B$6:$B$15,""),"")</f>
        <v/>
      </c>
      <c r="J1385">
        <f>IF(A1385="","",TEXT(A1385,"mmm-yyyy"))</f>
        <v/>
      </c>
    </row>
    <row r="1386">
      <c r="D1386">
        <f>IFERROR(XLOOKUP(C1386,'Vendor Master'!$A$6:$A$15,'Vendor Master'!$B$6:$B$15,""),"")</f>
        <v/>
      </c>
      <c r="J1386">
        <f>IF(A1386="","",TEXT(A1386,"mmm-yyyy"))</f>
        <v/>
      </c>
    </row>
    <row r="1387">
      <c r="D1387">
        <f>IFERROR(XLOOKUP(C1387,'Vendor Master'!$A$6:$A$15,'Vendor Master'!$B$6:$B$15,""),"")</f>
        <v/>
      </c>
      <c r="J1387">
        <f>IF(A1387="","",TEXT(A1387,"mmm-yyyy"))</f>
        <v/>
      </c>
    </row>
    <row r="1388">
      <c r="D1388">
        <f>IFERROR(XLOOKUP(C1388,'Vendor Master'!$A$6:$A$15,'Vendor Master'!$B$6:$B$15,""),"")</f>
        <v/>
      </c>
      <c r="J1388">
        <f>IF(A1388="","",TEXT(A1388,"mmm-yyyy"))</f>
        <v/>
      </c>
    </row>
    <row r="1389">
      <c r="D1389">
        <f>IFERROR(XLOOKUP(C1389,'Vendor Master'!$A$6:$A$15,'Vendor Master'!$B$6:$B$15,""),"")</f>
        <v/>
      </c>
      <c r="J1389">
        <f>IF(A1389="","",TEXT(A1389,"mmm-yyyy"))</f>
        <v/>
      </c>
    </row>
    <row r="1390">
      <c r="D1390">
        <f>IFERROR(XLOOKUP(C1390,'Vendor Master'!$A$6:$A$15,'Vendor Master'!$B$6:$B$15,""),"")</f>
        <v/>
      </c>
      <c r="J1390">
        <f>IF(A1390="","",TEXT(A1390,"mmm-yyyy"))</f>
        <v/>
      </c>
    </row>
    <row r="1391">
      <c r="D1391">
        <f>IFERROR(XLOOKUP(C1391,'Vendor Master'!$A$6:$A$15,'Vendor Master'!$B$6:$B$15,""),"")</f>
        <v/>
      </c>
      <c r="J1391">
        <f>IF(A1391="","",TEXT(A1391,"mmm-yyyy"))</f>
        <v/>
      </c>
    </row>
    <row r="1392">
      <c r="D1392">
        <f>IFERROR(XLOOKUP(C1392,'Vendor Master'!$A$6:$A$15,'Vendor Master'!$B$6:$B$15,""),"")</f>
        <v/>
      </c>
      <c r="J1392">
        <f>IF(A1392="","",TEXT(A1392,"mmm-yyyy"))</f>
        <v/>
      </c>
    </row>
    <row r="1393">
      <c r="D1393">
        <f>IFERROR(XLOOKUP(C1393,'Vendor Master'!$A$6:$A$15,'Vendor Master'!$B$6:$B$15,""),"")</f>
        <v/>
      </c>
      <c r="J1393">
        <f>IF(A1393="","",TEXT(A1393,"mmm-yyyy"))</f>
        <v/>
      </c>
    </row>
    <row r="1394">
      <c r="D1394">
        <f>IFERROR(XLOOKUP(C1394,'Vendor Master'!$A$6:$A$15,'Vendor Master'!$B$6:$B$15,""),"")</f>
        <v/>
      </c>
      <c r="J1394">
        <f>IF(A1394="","",TEXT(A1394,"mmm-yyyy"))</f>
        <v/>
      </c>
    </row>
    <row r="1395">
      <c r="D1395">
        <f>IFERROR(XLOOKUP(C1395,'Vendor Master'!$A$6:$A$15,'Vendor Master'!$B$6:$B$15,""),"")</f>
        <v/>
      </c>
      <c r="J1395">
        <f>IF(A1395="","",TEXT(A1395,"mmm-yyyy"))</f>
        <v/>
      </c>
    </row>
    <row r="1396">
      <c r="D1396">
        <f>IFERROR(XLOOKUP(C1396,'Vendor Master'!$A$6:$A$15,'Vendor Master'!$B$6:$B$15,""),"")</f>
        <v/>
      </c>
      <c r="J1396">
        <f>IF(A1396="","",TEXT(A1396,"mmm-yyyy"))</f>
        <v/>
      </c>
    </row>
    <row r="1397">
      <c r="D1397">
        <f>IFERROR(XLOOKUP(C1397,'Vendor Master'!$A$6:$A$15,'Vendor Master'!$B$6:$B$15,""),"")</f>
        <v/>
      </c>
      <c r="J1397">
        <f>IF(A1397="","",TEXT(A1397,"mmm-yyyy"))</f>
        <v/>
      </c>
    </row>
    <row r="1398">
      <c r="D1398">
        <f>IFERROR(XLOOKUP(C1398,'Vendor Master'!$A$6:$A$15,'Vendor Master'!$B$6:$B$15,""),"")</f>
        <v/>
      </c>
      <c r="J1398">
        <f>IF(A1398="","",TEXT(A1398,"mmm-yyyy"))</f>
        <v/>
      </c>
    </row>
    <row r="1399">
      <c r="D1399">
        <f>IFERROR(XLOOKUP(C1399,'Vendor Master'!$A$6:$A$15,'Vendor Master'!$B$6:$B$15,""),"")</f>
        <v/>
      </c>
      <c r="J1399">
        <f>IF(A1399="","",TEXT(A1399,"mmm-yyyy"))</f>
        <v/>
      </c>
    </row>
    <row r="1400">
      <c r="D1400">
        <f>IFERROR(XLOOKUP(C1400,'Vendor Master'!$A$6:$A$15,'Vendor Master'!$B$6:$B$15,""),"")</f>
        <v/>
      </c>
      <c r="J1400">
        <f>IF(A1400="","",TEXT(A1400,"mmm-yyyy"))</f>
        <v/>
      </c>
    </row>
    <row r="1401">
      <c r="D1401">
        <f>IFERROR(XLOOKUP(C1401,'Vendor Master'!$A$6:$A$15,'Vendor Master'!$B$6:$B$15,""),"")</f>
        <v/>
      </c>
      <c r="J1401">
        <f>IF(A1401="","",TEXT(A1401,"mmm-yyyy"))</f>
        <v/>
      </c>
    </row>
    <row r="1402">
      <c r="D1402">
        <f>IFERROR(XLOOKUP(C1402,'Vendor Master'!$A$6:$A$15,'Vendor Master'!$B$6:$B$15,""),"")</f>
        <v/>
      </c>
      <c r="J1402">
        <f>IF(A1402="","",TEXT(A1402,"mmm-yyyy"))</f>
        <v/>
      </c>
    </row>
    <row r="1403">
      <c r="D1403">
        <f>IFERROR(XLOOKUP(C1403,'Vendor Master'!$A$6:$A$15,'Vendor Master'!$B$6:$B$15,""),"")</f>
        <v/>
      </c>
      <c r="J1403">
        <f>IF(A1403="","",TEXT(A1403,"mmm-yyyy"))</f>
        <v/>
      </c>
    </row>
    <row r="1404">
      <c r="D1404">
        <f>IFERROR(XLOOKUP(C1404,'Vendor Master'!$A$6:$A$15,'Vendor Master'!$B$6:$B$15,""),"")</f>
        <v/>
      </c>
      <c r="J1404">
        <f>IF(A1404="","",TEXT(A1404,"mmm-yyyy"))</f>
        <v/>
      </c>
    </row>
    <row r="1405">
      <c r="D1405">
        <f>IFERROR(XLOOKUP(C1405,'Vendor Master'!$A$6:$A$15,'Vendor Master'!$B$6:$B$15,""),"")</f>
        <v/>
      </c>
      <c r="J1405">
        <f>IF(A1405="","",TEXT(A1405,"mmm-yyyy"))</f>
        <v/>
      </c>
    </row>
    <row r="1406">
      <c r="D1406">
        <f>IFERROR(XLOOKUP(C1406,'Vendor Master'!$A$6:$A$15,'Vendor Master'!$B$6:$B$15,""),"")</f>
        <v/>
      </c>
      <c r="J1406">
        <f>IF(A1406="","",TEXT(A1406,"mmm-yyyy"))</f>
        <v/>
      </c>
    </row>
    <row r="1407">
      <c r="D1407">
        <f>IFERROR(XLOOKUP(C1407,'Vendor Master'!$A$6:$A$15,'Vendor Master'!$B$6:$B$15,""),"")</f>
        <v/>
      </c>
      <c r="J1407">
        <f>IF(A1407="","",TEXT(A1407,"mmm-yyyy"))</f>
        <v/>
      </c>
    </row>
    <row r="1408">
      <c r="D1408">
        <f>IFERROR(XLOOKUP(C1408,'Vendor Master'!$A$6:$A$15,'Vendor Master'!$B$6:$B$15,""),"")</f>
        <v/>
      </c>
      <c r="J1408">
        <f>IF(A1408="","",TEXT(A1408,"mmm-yyyy"))</f>
        <v/>
      </c>
    </row>
    <row r="1409">
      <c r="D1409">
        <f>IFERROR(XLOOKUP(C1409,'Vendor Master'!$A$6:$A$15,'Vendor Master'!$B$6:$B$15,""),"")</f>
        <v/>
      </c>
      <c r="J1409">
        <f>IF(A1409="","",TEXT(A1409,"mmm-yyyy"))</f>
        <v/>
      </c>
    </row>
    <row r="1410">
      <c r="D1410">
        <f>IFERROR(XLOOKUP(C1410,'Vendor Master'!$A$6:$A$15,'Vendor Master'!$B$6:$B$15,""),"")</f>
        <v/>
      </c>
      <c r="J1410">
        <f>IF(A1410="","",TEXT(A1410,"mmm-yyyy"))</f>
        <v/>
      </c>
    </row>
    <row r="1411">
      <c r="D1411">
        <f>IFERROR(XLOOKUP(C1411,'Vendor Master'!$A$6:$A$15,'Vendor Master'!$B$6:$B$15,""),"")</f>
        <v/>
      </c>
      <c r="J1411">
        <f>IF(A1411="","",TEXT(A1411,"mmm-yyyy"))</f>
        <v/>
      </c>
    </row>
    <row r="1412">
      <c r="D1412">
        <f>IFERROR(XLOOKUP(C1412,'Vendor Master'!$A$6:$A$15,'Vendor Master'!$B$6:$B$15,""),"")</f>
        <v/>
      </c>
      <c r="J1412">
        <f>IF(A1412="","",TEXT(A1412,"mmm-yyyy"))</f>
        <v/>
      </c>
    </row>
    <row r="1413">
      <c r="D1413">
        <f>IFERROR(XLOOKUP(C1413,'Vendor Master'!$A$6:$A$15,'Vendor Master'!$B$6:$B$15,""),"")</f>
        <v/>
      </c>
      <c r="J1413">
        <f>IF(A1413="","",TEXT(A1413,"mmm-yyyy"))</f>
        <v/>
      </c>
    </row>
    <row r="1414">
      <c r="D1414">
        <f>IFERROR(XLOOKUP(C1414,'Vendor Master'!$A$6:$A$15,'Vendor Master'!$B$6:$B$15,""),"")</f>
        <v/>
      </c>
      <c r="J1414">
        <f>IF(A1414="","",TEXT(A1414,"mmm-yyyy"))</f>
        <v/>
      </c>
    </row>
    <row r="1415">
      <c r="D1415">
        <f>IFERROR(XLOOKUP(C1415,'Vendor Master'!$A$6:$A$15,'Vendor Master'!$B$6:$B$15,""),"")</f>
        <v/>
      </c>
      <c r="J1415">
        <f>IF(A1415="","",TEXT(A1415,"mmm-yyyy"))</f>
        <v/>
      </c>
    </row>
    <row r="1416">
      <c r="D1416">
        <f>IFERROR(XLOOKUP(C1416,'Vendor Master'!$A$6:$A$15,'Vendor Master'!$B$6:$B$15,""),"")</f>
        <v/>
      </c>
      <c r="J1416">
        <f>IF(A1416="","",TEXT(A1416,"mmm-yyyy"))</f>
        <v/>
      </c>
    </row>
    <row r="1417">
      <c r="D1417">
        <f>IFERROR(XLOOKUP(C1417,'Vendor Master'!$A$6:$A$15,'Vendor Master'!$B$6:$B$15,""),"")</f>
        <v/>
      </c>
      <c r="J1417">
        <f>IF(A1417="","",TEXT(A1417,"mmm-yyyy"))</f>
        <v/>
      </c>
    </row>
    <row r="1418">
      <c r="D1418">
        <f>IFERROR(XLOOKUP(C1418,'Vendor Master'!$A$6:$A$15,'Vendor Master'!$B$6:$B$15,""),"")</f>
        <v/>
      </c>
      <c r="J1418">
        <f>IF(A1418="","",TEXT(A1418,"mmm-yyyy"))</f>
        <v/>
      </c>
    </row>
    <row r="1419">
      <c r="D1419">
        <f>IFERROR(XLOOKUP(C1419,'Vendor Master'!$A$6:$A$15,'Vendor Master'!$B$6:$B$15,""),"")</f>
        <v/>
      </c>
      <c r="J1419">
        <f>IF(A1419="","",TEXT(A1419,"mmm-yyyy"))</f>
        <v/>
      </c>
    </row>
    <row r="1420">
      <c r="D1420">
        <f>IFERROR(XLOOKUP(C1420,'Vendor Master'!$A$6:$A$15,'Vendor Master'!$B$6:$B$15,""),"")</f>
        <v/>
      </c>
      <c r="J1420">
        <f>IF(A1420="","",TEXT(A1420,"mmm-yyyy"))</f>
        <v/>
      </c>
    </row>
    <row r="1421">
      <c r="D1421">
        <f>IFERROR(XLOOKUP(C1421,'Vendor Master'!$A$6:$A$15,'Vendor Master'!$B$6:$B$15,""),"")</f>
        <v/>
      </c>
      <c r="J1421">
        <f>IF(A1421="","",TEXT(A1421,"mmm-yyyy"))</f>
        <v/>
      </c>
    </row>
    <row r="1422">
      <c r="D1422">
        <f>IFERROR(XLOOKUP(C1422,'Vendor Master'!$A$6:$A$15,'Vendor Master'!$B$6:$B$15,""),"")</f>
        <v/>
      </c>
      <c r="J1422">
        <f>IF(A1422="","",TEXT(A1422,"mmm-yyyy"))</f>
        <v/>
      </c>
    </row>
    <row r="1423">
      <c r="D1423">
        <f>IFERROR(XLOOKUP(C1423,'Vendor Master'!$A$6:$A$15,'Vendor Master'!$B$6:$B$15,""),"")</f>
        <v/>
      </c>
      <c r="J1423">
        <f>IF(A1423="","",TEXT(A1423,"mmm-yyyy"))</f>
        <v/>
      </c>
    </row>
    <row r="1424">
      <c r="D1424">
        <f>IFERROR(XLOOKUP(C1424,'Vendor Master'!$A$6:$A$15,'Vendor Master'!$B$6:$B$15,""),"")</f>
        <v/>
      </c>
      <c r="J1424">
        <f>IF(A1424="","",TEXT(A1424,"mmm-yyyy"))</f>
        <v/>
      </c>
    </row>
    <row r="1425">
      <c r="D1425">
        <f>IFERROR(XLOOKUP(C1425,'Vendor Master'!$A$6:$A$15,'Vendor Master'!$B$6:$B$15,""),"")</f>
        <v/>
      </c>
      <c r="J1425">
        <f>IF(A1425="","",TEXT(A1425,"mmm-yyyy"))</f>
        <v/>
      </c>
    </row>
    <row r="1426">
      <c r="D1426">
        <f>IFERROR(XLOOKUP(C1426,'Vendor Master'!$A$6:$A$15,'Vendor Master'!$B$6:$B$15,""),"")</f>
        <v/>
      </c>
      <c r="J1426">
        <f>IF(A1426="","",TEXT(A1426,"mmm-yyyy"))</f>
        <v/>
      </c>
    </row>
    <row r="1427">
      <c r="D1427">
        <f>IFERROR(XLOOKUP(C1427,'Vendor Master'!$A$6:$A$15,'Vendor Master'!$B$6:$B$15,""),"")</f>
        <v/>
      </c>
      <c r="J1427">
        <f>IF(A1427="","",TEXT(A1427,"mmm-yyyy"))</f>
        <v/>
      </c>
    </row>
    <row r="1428">
      <c r="D1428">
        <f>IFERROR(XLOOKUP(C1428,'Vendor Master'!$A$6:$A$15,'Vendor Master'!$B$6:$B$15,""),"")</f>
        <v/>
      </c>
      <c r="J1428">
        <f>IF(A1428="","",TEXT(A1428,"mmm-yyyy"))</f>
        <v/>
      </c>
    </row>
    <row r="1429">
      <c r="D1429">
        <f>IFERROR(XLOOKUP(C1429,'Vendor Master'!$A$6:$A$15,'Vendor Master'!$B$6:$B$15,""),"")</f>
        <v/>
      </c>
      <c r="J1429">
        <f>IF(A1429="","",TEXT(A1429,"mmm-yyyy"))</f>
        <v/>
      </c>
    </row>
    <row r="1430">
      <c r="D1430">
        <f>IFERROR(XLOOKUP(C1430,'Vendor Master'!$A$6:$A$15,'Vendor Master'!$B$6:$B$15,""),"")</f>
        <v/>
      </c>
      <c r="J1430">
        <f>IF(A1430="","",TEXT(A1430,"mmm-yyyy"))</f>
        <v/>
      </c>
    </row>
    <row r="1431">
      <c r="D1431">
        <f>IFERROR(XLOOKUP(C1431,'Vendor Master'!$A$6:$A$15,'Vendor Master'!$B$6:$B$15,""),"")</f>
        <v/>
      </c>
      <c r="J1431">
        <f>IF(A1431="","",TEXT(A1431,"mmm-yyyy"))</f>
        <v/>
      </c>
    </row>
    <row r="1432">
      <c r="D1432">
        <f>IFERROR(XLOOKUP(C1432,'Vendor Master'!$A$6:$A$15,'Vendor Master'!$B$6:$B$15,""),"")</f>
        <v/>
      </c>
      <c r="J1432">
        <f>IF(A1432="","",TEXT(A1432,"mmm-yyyy"))</f>
        <v/>
      </c>
    </row>
    <row r="1433">
      <c r="D1433">
        <f>IFERROR(XLOOKUP(C1433,'Vendor Master'!$A$6:$A$15,'Vendor Master'!$B$6:$B$15,""),"")</f>
        <v/>
      </c>
      <c r="J1433">
        <f>IF(A1433="","",TEXT(A1433,"mmm-yyyy"))</f>
        <v/>
      </c>
    </row>
    <row r="1434">
      <c r="D1434">
        <f>IFERROR(XLOOKUP(C1434,'Vendor Master'!$A$6:$A$15,'Vendor Master'!$B$6:$B$15,""),"")</f>
        <v/>
      </c>
      <c r="J1434">
        <f>IF(A1434="","",TEXT(A1434,"mmm-yyyy"))</f>
        <v/>
      </c>
    </row>
    <row r="1435">
      <c r="D1435">
        <f>IFERROR(XLOOKUP(C1435,'Vendor Master'!$A$6:$A$15,'Vendor Master'!$B$6:$B$15,""),"")</f>
        <v/>
      </c>
      <c r="J1435">
        <f>IF(A1435="","",TEXT(A1435,"mmm-yyyy"))</f>
        <v/>
      </c>
    </row>
    <row r="1436">
      <c r="D1436">
        <f>IFERROR(XLOOKUP(C1436,'Vendor Master'!$A$6:$A$15,'Vendor Master'!$B$6:$B$15,""),"")</f>
        <v/>
      </c>
      <c r="J1436">
        <f>IF(A1436="","",TEXT(A1436,"mmm-yyyy"))</f>
        <v/>
      </c>
    </row>
    <row r="1437">
      <c r="D1437">
        <f>IFERROR(XLOOKUP(C1437,'Vendor Master'!$A$6:$A$15,'Vendor Master'!$B$6:$B$15,""),"")</f>
        <v/>
      </c>
      <c r="J1437">
        <f>IF(A1437="","",TEXT(A1437,"mmm-yyyy"))</f>
        <v/>
      </c>
    </row>
    <row r="1438">
      <c r="D1438">
        <f>IFERROR(XLOOKUP(C1438,'Vendor Master'!$A$6:$A$15,'Vendor Master'!$B$6:$B$15,""),"")</f>
        <v/>
      </c>
      <c r="J1438">
        <f>IF(A1438="","",TEXT(A1438,"mmm-yyyy"))</f>
        <v/>
      </c>
    </row>
    <row r="1439">
      <c r="D1439">
        <f>IFERROR(XLOOKUP(C1439,'Vendor Master'!$A$6:$A$15,'Vendor Master'!$B$6:$B$15,""),"")</f>
        <v/>
      </c>
      <c r="J1439">
        <f>IF(A1439="","",TEXT(A1439,"mmm-yyyy"))</f>
        <v/>
      </c>
    </row>
    <row r="1440">
      <c r="D1440">
        <f>IFERROR(XLOOKUP(C1440,'Vendor Master'!$A$6:$A$15,'Vendor Master'!$B$6:$B$15,""),"")</f>
        <v/>
      </c>
      <c r="J1440">
        <f>IF(A1440="","",TEXT(A1440,"mmm-yyyy"))</f>
        <v/>
      </c>
    </row>
    <row r="1441">
      <c r="D1441">
        <f>IFERROR(XLOOKUP(C1441,'Vendor Master'!$A$6:$A$15,'Vendor Master'!$B$6:$B$15,""),"")</f>
        <v/>
      </c>
      <c r="J1441">
        <f>IF(A1441="","",TEXT(A1441,"mmm-yyyy"))</f>
        <v/>
      </c>
    </row>
    <row r="1442">
      <c r="D1442">
        <f>IFERROR(XLOOKUP(C1442,'Vendor Master'!$A$6:$A$15,'Vendor Master'!$B$6:$B$15,""),"")</f>
        <v/>
      </c>
      <c r="J1442">
        <f>IF(A1442="","",TEXT(A1442,"mmm-yyyy"))</f>
        <v/>
      </c>
    </row>
    <row r="1443">
      <c r="D1443">
        <f>IFERROR(XLOOKUP(C1443,'Vendor Master'!$A$6:$A$15,'Vendor Master'!$B$6:$B$15,""),"")</f>
        <v/>
      </c>
      <c r="J1443">
        <f>IF(A1443="","",TEXT(A1443,"mmm-yyyy"))</f>
        <v/>
      </c>
    </row>
    <row r="1444">
      <c r="D1444">
        <f>IFERROR(XLOOKUP(C1444,'Vendor Master'!$A$6:$A$15,'Vendor Master'!$B$6:$B$15,""),"")</f>
        <v/>
      </c>
      <c r="J1444">
        <f>IF(A1444="","",TEXT(A1444,"mmm-yyyy"))</f>
        <v/>
      </c>
    </row>
    <row r="1445">
      <c r="D1445">
        <f>IFERROR(XLOOKUP(C1445,'Vendor Master'!$A$6:$A$15,'Vendor Master'!$B$6:$B$15,""),"")</f>
        <v/>
      </c>
      <c r="J1445">
        <f>IF(A1445="","",TEXT(A1445,"mmm-yyyy"))</f>
        <v/>
      </c>
    </row>
    <row r="1446">
      <c r="D1446">
        <f>IFERROR(XLOOKUP(C1446,'Vendor Master'!$A$6:$A$15,'Vendor Master'!$B$6:$B$15,""),"")</f>
        <v/>
      </c>
      <c r="J1446">
        <f>IF(A1446="","",TEXT(A1446,"mmm-yyyy"))</f>
        <v/>
      </c>
    </row>
    <row r="1447">
      <c r="D1447">
        <f>IFERROR(XLOOKUP(C1447,'Vendor Master'!$A$6:$A$15,'Vendor Master'!$B$6:$B$15,""),"")</f>
        <v/>
      </c>
      <c r="J1447">
        <f>IF(A1447="","",TEXT(A1447,"mmm-yyyy"))</f>
        <v/>
      </c>
    </row>
    <row r="1448">
      <c r="D1448">
        <f>IFERROR(XLOOKUP(C1448,'Vendor Master'!$A$6:$A$15,'Vendor Master'!$B$6:$B$15,""),"")</f>
        <v/>
      </c>
      <c r="J1448">
        <f>IF(A1448="","",TEXT(A1448,"mmm-yyyy"))</f>
        <v/>
      </c>
    </row>
    <row r="1449">
      <c r="D1449">
        <f>IFERROR(XLOOKUP(C1449,'Vendor Master'!$A$6:$A$15,'Vendor Master'!$B$6:$B$15,""),"")</f>
        <v/>
      </c>
      <c r="J1449">
        <f>IF(A1449="","",TEXT(A1449,"mmm-yyyy"))</f>
        <v/>
      </c>
    </row>
    <row r="1450">
      <c r="D1450">
        <f>IFERROR(XLOOKUP(C1450,'Vendor Master'!$A$6:$A$15,'Vendor Master'!$B$6:$B$15,""),"")</f>
        <v/>
      </c>
      <c r="J1450">
        <f>IF(A1450="","",TEXT(A1450,"mmm-yyyy"))</f>
        <v/>
      </c>
    </row>
    <row r="1451">
      <c r="D1451">
        <f>IFERROR(XLOOKUP(C1451,'Vendor Master'!$A$6:$A$15,'Vendor Master'!$B$6:$B$15,""),"")</f>
        <v/>
      </c>
      <c r="J1451">
        <f>IF(A1451="","",TEXT(A1451,"mmm-yyyy"))</f>
        <v/>
      </c>
    </row>
    <row r="1452">
      <c r="D1452">
        <f>IFERROR(XLOOKUP(C1452,'Vendor Master'!$A$6:$A$15,'Vendor Master'!$B$6:$B$15,""),"")</f>
        <v/>
      </c>
      <c r="J1452">
        <f>IF(A1452="","",TEXT(A1452,"mmm-yyyy"))</f>
        <v/>
      </c>
    </row>
    <row r="1453">
      <c r="D1453">
        <f>IFERROR(XLOOKUP(C1453,'Vendor Master'!$A$6:$A$15,'Vendor Master'!$B$6:$B$15,""),"")</f>
        <v/>
      </c>
      <c r="J1453">
        <f>IF(A1453="","",TEXT(A1453,"mmm-yyyy"))</f>
        <v/>
      </c>
    </row>
    <row r="1454">
      <c r="D1454">
        <f>IFERROR(XLOOKUP(C1454,'Vendor Master'!$A$6:$A$15,'Vendor Master'!$B$6:$B$15,""),"")</f>
        <v/>
      </c>
      <c r="J1454">
        <f>IF(A1454="","",TEXT(A1454,"mmm-yyyy"))</f>
        <v/>
      </c>
    </row>
    <row r="1455">
      <c r="D1455">
        <f>IFERROR(XLOOKUP(C1455,'Vendor Master'!$A$6:$A$15,'Vendor Master'!$B$6:$B$15,""),"")</f>
        <v/>
      </c>
      <c r="J1455">
        <f>IF(A1455="","",TEXT(A1455,"mmm-yyyy"))</f>
        <v/>
      </c>
    </row>
    <row r="1456">
      <c r="D1456">
        <f>IFERROR(XLOOKUP(C1456,'Vendor Master'!$A$6:$A$15,'Vendor Master'!$B$6:$B$15,""),"")</f>
        <v/>
      </c>
      <c r="J1456">
        <f>IF(A1456="","",TEXT(A1456,"mmm-yyyy"))</f>
        <v/>
      </c>
    </row>
    <row r="1457">
      <c r="D1457">
        <f>IFERROR(XLOOKUP(C1457,'Vendor Master'!$A$6:$A$15,'Vendor Master'!$B$6:$B$15,""),"")</f>
        <v/>
      </c>
      <c r="J1457">
        <f>IF(A1457="","",TEXT(A1457,"mmm-yyyy"))</f>
        <v/>
      </c>
    </row>
    <row r="1458">
      <c r="D1458">
        <f>IFERROR(XLOOKUP(C1458,'Vendor Master'!$A$6:$A$15,'Vendor Master'!$B$6:$B$15,""),"")</f>
        <v/>
      </c>
      <c r="J1458">
        <f>IF(A1458="","",TEXT(A1458,"mmm-yyyy"))</f>
        <v/>
      </c>
    </row>
    <row r="1459">
      <c r="D1459">
        <f>IFERROR(XLOOKUP(C1459,'Vendor Master'!$A$6:$A$15,'Vendor Master'!$B$6:$B$15,""),"")</f>
        <v/>
      </c>
      <c r="J1459">
        <f>IF(A1459="","",TEXT(A1459,"mmm-yyyy"))</f>
        <v/>
      </c>
    </row>
    <row r="1460">
      <c r="D1460">
        <f>IFERROR(XLOOKUP(C1460,'Vendor Master'!$A$6:$A$15,'Vendor Master'!$B$6:$B$15,""),"")</f>
        <v/>
      </c>
      <c r="J1460">
        <f>IF(A1460="","",TEXT(A1460,"mmm-yyyy"))</f>
        <v/>
      </c>
    </row>
    <row r="1461">
      <c r="D1461">
        <f>IFERROR(XLOOKUP(C1461,'Vendor Master'!$A$6:$A$15,'Vendor Master'!$B$6:$B$15,""),"")</f>
        <v/>
      </c>
      <c r="J1461">
        <f>IF(A1461="","",TEXT(A1461,"mmm-yyyy"))</f>
        <v/>
      </c>
    </row>
    <row r="1462">
      <c r="D1462">
        <f>IFERROR(XLOOKUP(C1462,'Vendor Master'!$A$6:$A$15,'Vendor Master'!$B$6:$B$15,""),"")</f>
        <v/>
      </c>
      <c r="J1462">
        <f>IF(A1462="","",TEXT(A1462,"mmm-yyyy"))</f>
        <v/>
      </c>
    </row>
    <row r="1463">
      <c r="D1463">
        <f>IFERROR(XLOOKUP(C1463,'Vendor Master'!$A$6:$A$15,'Vendor Master'!$B$6:$B$15,""),"")</f>
        <v/>
      </c>
      <c r="J1463">
        <f>IF(A1463="","",TEXT(A1463,"mmm-yyyy"))</f>
        <v/>
      </c>
    </row>
    <row r="1464">
      <c r="D1464">
        <f>IFERROR(XLOOKUP(C1464,'Vendor Master'!$A$6:$A$15,'Vendor Master'!$B$6:$B$15,""),"")</f>
        <v/>
      </c>
      <c r="J1464">
        <f>IF(A1464="","",TEXT(A1464,"mmm-yyyy"))</f>
        <v/>
      </c>
    </row>
    <row r="1465">
      <c r="D1465">
        <f>IFERROR(XLOOKUP(C1465,'Vendor Master'!$A$6:$A$15,'Vendor Master'!$B$6:$B$15,""),"")</f>
        <v/>
      </c>
      <c r="J1465">
        <f>IF(A1465="","",TEXT(A1465,"mmm-yyyy"))</f>
        <v/>
      </c>
    </row>
    <row r="1466">
      <c r="D1466">
        <f>IFERROR(XLOOKUP(C1466,'Vendor Master'!$A$6:$A$15,'Vendor Master'!$B$6:$B$15,""),"")</f>
        <v/>
      </c>
      <c r="J1466">
        <f>IF(A1466="","",TEXT(A1466,"mmm-yyyy"))</f>
        <v/>
      </c>
    </row>
    <row r="1467">
      <c r="D1467">
        <f>IFERROR(XLOOKUP(C1467,'Vendor Master'!$A$6:$A$15,'Vendor Master'!$B$6:$B$15,""),"")</f>
        <v/>
      </c>
      <c r="J1467">
        <f>IF(A1467="","",TEXT(A1467,"mmm-yyyy"))</f>
        <v/>
      </c>
    </row>
    <row r="1468">
      <c r="D1468">
        <f>IFERROR(XLOOKUP(C1468,'Vendor Master'!$A$6:$A$15,'Vendor Master'!$B$6:$B$15,""),"")</f>
        <v/>
      </c>
      <c r="J1468">
        <f>IF(A1468="","",TEXT(A1468,"mmm-yyyy"))</f>
        <v/>
      </c>
    </row>
    <row r="1469">
      <c r="D1469">
        <f>IFERROR(XLOOKUP(C1469,'Vendor Master'!$A$6:$A$15,'Vendor Master'!$B$6:$B$15,""),"")</f>
        <v/>
      </c>
      <c r="J1469">
        <f>IF(A1469="","",TEXT(A1469,"mmm-yyyy"))</f>
        <v/>
      </c>
    </row>
    <row r="1470">
      <c r="D1470">
        <f>IFERROR(XLOOKUP(C1470,'Vendor Master'!$A$6:$A$15,'Vendor Master'!$B$6:$B$15,""),"")</f>
        <v/>
      </c>
      <c r="J1470">
        <f>IF(A1470="","",TEXT(A1470,"mmm-yyyy"))</f>
        <v/>
      </c>
    </row>
    <row r="1471">
      <c r="D1471">
        <f>IFERROR(XLOOKUP(C1471,'Vendor Master'!$A$6:$A$15,'Vendor Master'!$B$6:$B$15,""),"")</f>
        <v/>
      </c>
      <c r="J1471">
        <f>IF(A1471="","",TEXT(A1471,"mmm-yyyy"))</f>
        <v/>
      </c>
    </row>
    <row r="1472">
      <c r="D1472">
        <f>IFERROR(XLOOKUP(C1472,'Vendor Master'!$A$6:$A$15,'Vendor Master'!$B$6:$B$15,""),"")</f>
        <v/>
      </c>
      <c r="J1472">
        <f>IF(A1472="","",TEXT(A1472,"mmm-yyyy"))</f>
        <v/>
      </c>
    </row>
    <row r="1473">
      <c r="D1473">
        <f>IFERROR(XLOOKUP(C1473,'Vendor Master'!$A$6:$A$15,'Vendor Master'!$B$6:$B$15,""),"")</f>
        <v/>
      </c>
      <c r="J1473">
        <f>IF(A1473="","",TEXT(A1473,"mmm-yyyy"))</f>
        <v/>
      </c>
    </row>
    <row r="1474">
      <c r="D1474">
        <f>IFERROR(XLOOKUP(C1474,'Vendor Master'!$A$6:$A$15,'Vendor Master'!$B$6:$B$15,""),"")</f>
        <v/>
      </c>
      <c r="J1474">
        <f>IF(A1474="","",TEXT(A1474,"mmm-yyyy"))</f>
        <v/>
      </c>
    </row>
    <row r="1475">
      <c r="D1475">
        <f>IFERROR(XLOOKUP(C1475,'Vendor Master'!$A$6:$A$15,'Vendor Master'!$B$6:$B$15,""),"")</f>
        <v/>
      </c>
      <c r="J1475">
        <f>IF(A1475="","",TEXT(A1475,"mmm-yyyy"))</f>
        <v/>
      </c>
    </row>
    <row r="1476">
      <c r="D1476">
        <f>IFERROR(XLOOKUP(C1476,'Vendor Master'!$A$6:$A$15,'Vendor Master'!$B$6:$B$15,""),"")</f>
        <v/>
      </c>
      <c r="J1476">
        <f>IF(A1476="","",TEXT(A1476,"mmm-yyyy"))</f>
        <v/>
      </c>
    </row>
    <row r="1477">
      <c r="D1477">
        <f>IFERROR(XLOOKUP(C1477,'Vendor Master'!$A$6:$A$15,'Vendor Master'!$B$6:$B$15,""),"")</f>
        <v/>
      </c>
      <c r="J1477">
        <f>IF(A1477="","",TEXT(A1477,"mmm-yyyy"))</f>
        <v/>
      </c>
    </row>
    <row r="1478">
      <c r="D1478">
        <f>IFERROR(XLOOKUP(C1478,'Vendor Master'!$A$6:$A$15,'Vendor Master'!$B$6:$B$15,""),"")</f>
        <v/>
      </c>
      <c r="J1478">
        <f>IF(A1478="","",TEXT(A1478,"mmm-yyyy"))</f>
        <v/>
      </c>
    </row>
    <row r="1479">
      <c r="D1479">
        <f>IFERROR(XLOOKUP(C1479,'Vendor Master'!$A$6:$A$15,'Vendor Master'!$B$6:$B$15,""),"")</f>
        <v/>
      </c>
      <c r="J1479">
        <f>IF(A1479="","",TEXT(A1479,"mmm-yyyy"))</f>
        <v/>
      </c>
    </row>
    <row r="1480">
      <c r="D1480">
        <f>IFERROR(XLOOKUP(C1480,'Vendor Master'!$A$6:$A$15,'Vendor Master'!$B$6:$B$15,""),"")</f>
        <v/>
      </c>
      <c r="J1480">
        <f>IF(A1480="","",TEXT(A1480,"mmm-yyyy"))</f>
        <v/>
      </c>
    </row>
    <row r="1481">
      <c r="D1481">
        <f>IFERROR(XLOOKUP(C1481,'Vendor Master'!$A$6:$A$15,'Vendor Master'!$B$6:$B$15,""),"")</f>
        <v/>
      </c>
      <c r="J1481">
        <f>IF(A1481="","",TEXT(A1481,"mmm-yyyy"))</f>
        <v/>
      </c>
    </row>
    <row r="1482">
      <c r="D1482">
        <f>IFERROR(XLOOKUP(C1482,'Vendor Master'!$A$6:$A$15,'Vendor Master'!$B$6:$B$15,""),"")</f>
        <v/>
      </c>
      <c r="J1482">
        <f>IF(A1482="","",TEXT(A1482,"mmm-yyyy"))</f>
        <v/>
      </c>
    </row>
    <row r="1483">
      <c r="D1483">
        <f>IFERROR(XLOOKUP(C1483,'Vendor Master'!$A$6:$A$15,'Vendor Master'!$B$6:$B$15,""),"")</f>
        <v/>
      </c>
      <c r="J1483">
        <f>IF(A1483="","",TEXT(A1483,"mmm-yyyy"))</f>
        <v/>
      </c>
    </row>
    <row r="1484">
      <c r="D1484">
        <f>IFERROR(XLOOKUP(C1484,'Vendor Master'!$A$6:$A$15,'Vendor Master'!$B$6:$B$15,""),"")</f>
        <v/>
      </c>
      <c r="J1484">
        <f>IF(A1484="","",TEXT(A1484,"mmm-yyyy"))</f>
        <v/>
      </c>
    </row>
    <row r="1485">
      <c r="D1485">
        <f>IFERROR(XLOOKUP(C1485,'Vendor Master'!$A$6:$A$15,'Vendor Master'!$B$6:$B$15,""),"")</f>
        <v/>
      </c>
      <c r="J1485">
        <f>IF(A1485="","",TEXT(A1485,"mmm-yyyy"))</f>
        <v/>
      </c>
    </row>
    <row r="1486">
      <c r="D1486">
        <f>IFERROR(XLOOKUP(C1486,'Vendor Master'!$A$6:$A$15,'Vendor Master'!$B$6:$B$15,""),"")</f>
        <v/>
      </c>
      <c r="J1486">
        <f>IF(A1486="","",TEXT(A1486,"mmm-yyyy"))</f>
        <v/>
      </c>
    </row>
    <row r="1487">
      <c r="D1487">
        <f>IFERROR(XLOOKUP(C1487,'Vendor Master'!$A$6:$A$15,'Vendor Master'!$B$6:$B$15,""),"")</f>
        <v/>
      </c>
      <c r="J1487">
        <f>IF(A1487="","",TEXT(A1487,"mmm-yyyy"))</f>
        <v/>
      </c>
    </row>
    <row r="1488">
      <c r="D1488">
        <f>IFERROR(XLOOKUP(C1488,'Vendor Master'!$A$6:$A$15,'Vendor Master'!$B$6:$B$15,""),"")</f>
        <v/>
      </c>
      <c r="J1488">
        <f>IF(A1488="","",TEXT(A1488,"mmm-yyyy"))</f>
        <v/>
      </c>
    </row>
    <row r="1489">
      <c r="D1489">
        <f>IFERROR(XLOOKUP(C1489,'Vendor Master'!$A$6:$A$15,'Vendor Master'!$B$6:$B$15,""),"")</f>
        <v/>
      </c>
      <c r="J1489">
        <f>IF(A1489="","",TEXT(A1489,"mmm-yyyy"))</f>
        <v/>
      </c>
    </row>
    <row r="1490">
      <c r="D1490">
        <f>IFERROR(XLOOKUP(C1490,'Vendor Master'!$A$6:$A$15,'Vendor Master'!$B$6:$B$15,""),"")</f>
        <v/>
      </c>
      <c r="J1490">
        <f>IF(A1490="","",TEXT(A1490,"mmm-yyyy"))</f>
        <v/>
      </c>
    </row>
    <row r="1491">
      <c r="D1491">
        <f>IFERROR(XLOOKUP(C1491,'Vendor Master'!$A$6:$A$15,'Vendor Master'!$B$6:$B$15,""),"")</f>
        <v/>
      </c>
      <c r="J1491">
        <f>IF(A1491="","",TEXT(A1491,"mmm-yyyy"))</f>
        <v/>
      </c>
    </row>
    <row r="1492">
      <c r="D1492">
        <f>IFERROR(XLOOKUP(C1492,'Vendor Master'!$A$6:$A$15,'Vendor Master'!$B$6:$B$15,""),"")</f>
        <v/>
      </c>
      <c r="J1492">
        <f>IF(A1492="","",TEXT(A1492,"mmm-yyyy"))</f>
        <v/>
      </c>
    </row>
    <row r="1493">
      <c r="D1493">
        <f>IFERROR(XLOOKUP(C1493,'Vendor Master'!$A$6:$A$15,'Vendor Master'!$B$6:$B$15,""),"")</f>
        <v/>
      </c>
      <c r="J1493">
        <f>IF(A1493="","",TEXT(A1493,"mmm-yyyy"))</f>
        <v/>
      </c>
    </row>
    <row r="1494">
      <c r="D1494">
        <f>IFERROR(XLOOKUP(C1494,'Vendor Master'!$A$6:$A$15,'Vendor Master'!$B$6:$B$15,""),"")</f>
        <v/>
      </c>
      <c r="J1494">
        <f>IF(A1494="","",TEXT(A1494,"mmm-yyyy"))</f>
        <v/>
      </c>
    </row>
    <row r="1495">
      <c r="D1495">
        <f>IFERROR(XLOOKUP(C1495,'Vendor Master'!$A$6:$A$15,'Vendor Master'!$B$6:$B$15,""),"")</f>
        <v/>
      </c>
      <c r="J1495">
        <f>IF(A1495="","",TEXT(A1495,"mmm-yyyy"))</f>
        <v/>
      </c>
    </row>
    <row r="1496">
      <c r="D1496">
        <f>IFERROR(XLOOKUP(C1496,'Vendor Master'!$A$6:$A$15,'Vendor Master'!$B$6:$B$15,""),"")</f>
        <v/>
      </c>
      <c r="J1496">
        <f>IF(A1496="","",TEXT(A1496,"mmm-yyyy"))</f>
        <v/>
      </c>
    </row>
    <row r="1497">
      <c r="D1497">
        <f>IFERROR(XLOOKUP(C1497,'Vendor Master'!$A$6:$A$15,'Vendor Master'!$B$6:$B$15,""),"")</f>
        <v/>
      </c>
      <c r="J1497">
        <f>IF(A1497="","",TEXT(A1497,"mmm-yyyy"))</f>
        <v/>
      </c>
    </row>
    <row r="1498">
      <c r="D1498">
        <f>IFERROR(XLOOKUP(C1498,'Vendor Master'!$A$6:$A$15,'Vendor Master'!$B$6:$B$15,""),"")</f>
        <v/>
      </c>
      <c r="J1498">
        <f>IF(A1498="","",TEXT(A1498,"mmm-yyyy"))</f>
        <v/>
      </c>
    </row>
    <row r="1499">
      <c r="D1499">
        <f>IFERROR(XLOOKUP(C1499,'Vendor Master'!$A$6:$A$15,'Vendor Master'!$B$6:$B$15,""),"")</f>
        <v/>
      </c>
      <c r="J1499">
        <f>IF(A1499="","",TEXT(A1499,"mmm-yyyy"))</f>
        <v/>
      </c>
    </row>
    <row r="1500">
      <c r="D1500">
        <f>IFERROR(XLOOKUP(C1500,'Vendor Master'!$A$6:$A$15,'Vendor Master'!$B$6:$B$15,""),"")</f>
        <v/>
      </c>
      <c r="J1500">
        <f>IF(A1500="","",TEXT(A1500,"mmm-yyyy"))</f>
        <v/>
      </c>
    </row>
    <row r="1501">
      <c r="D1501">
        <f>IFERROR(XLOOKUP(C1501,'Vendor Master'!$A$6:$A$15,'Vendor Master'!$B$6:$B$15,""),"")</f>
        <v/>
      </c>
      <c r="J1501">
        <f>IF(A1501="","",TEXT(A1501,"mmm-yyyy"))</f>
        <v/>
      </c>
    </row>
    <row r="1502">
      <c r="D1502">
        <f>IFERROR(XLOOKUP(C1502,'Vendor Master'!$A$6:$A$15,'Vendor Master'!$B$6:$B$15,""),"")</f>
        <v/>
      </c>
      <c r="J1502">
        <f>IF(A1502="","",TEXT(A1502,"mmm-yyyy"))</f>
        <v/>
      </c>
    </row>
    <row r="1503">
      <c r="D1503">
        <f>IFERROR(XLOOKUP(C1503,'Vendor Master'!$A$6:$A$15,'Vendor Master'!$B$6:$B$15,""),"")</f>
        <v/>
      </c>
      <c r="J1503">
        <f>IF(A1503="","",TEXT(A1503,"mmm-yyyy"))</f>
        <v/>
      </c>
    </row>
    <row r="1504">
      <c r="D1504">
        <f>IFERROR(XLOOKUP(C1504,'Vendor Master'!$A$6:$A$15,'Vendor Master'!$B$6:$B$15,""),"")</f>
        <v/>
      </c>
      <c r="J1504">
        <f>IF(A1504="","",TEXT(A1504,"mmm-yyyy"))</f>
        <v/>
      </c>
    </row>
    <row r="1505">
      <c r="D1505">
        <f>IFERROR(XLOOKUP(C1505,'Vendor Master'!$A$6:$A$15,'Vendor Master'!$B$6:$B$15,""),"")</f>
        <v/>
      </c>
      <c r="J1505">
        <f>IF(A1505="","",TEXT(A1505,"mmm-yyyy"))</f>
        <v/>
      </c>
    </row>
    <row r="1506">
      <c r="D1506">
        <f>IFERROR(XLOOKUP(C1506,'Vendor Master'!$A$6:$A$15,'Vendor Master'!$B$6:$B$15,""),"")</f>
        <v/>
      </c>
      <c r="J1506">
        <f>IF(A1506="","",TEXT(A1506,"mmm-yyyy"))</f>
        <v/>
      </c>
    </row>
    <row r="1507">
      <c r="D1507">
        <f>IFERROR(XLOOKUP(C1507,'Vendor Master'!$A$6:$A$15,'Vendor Master'!$B$6:$B$15,""),"")</f>
        <v/>
      </c>
      <c r="J1507">
        <f>IF(A1507="","",TEXT(A1507,"mmm-yyyy"))</f>
        <v/>
      </c>
    </row>
    <row r="1508">
      <c r="D1508">
        <f>IFERROR(XLOOKUP(C1508,'Vendor Master'!$A$6:$A$15,'Vendor Master'!$B$6:$B$15,""),"")</f>
        <v/>
      </c>
      <c r="J1508">
        <f>IF(A1508="","",TEXT(A1508,"mmm-yyyy"))</f>
        <v/>
      </c>
    </row>
    <row r="1509">
      <c r="D1509">
        <f>IFERROR(XLOOKUP(C1509,'Vendor Master'!$A$6:$A$15,'Vendor Master'!$B$6:$B$15,""),"")</f>
        <v/>
      </c>
      <c r="J1509">
        <f>IF(A1509="","",TEXT(A1509,"mmm-yyyy"))</f>
        <v/>
      </c>
    </row>
    <row r="1510">
      <c r="D1510">
        <f>IFERROR(XLOOKUP(C1510,'Vendor Master'!$A$6:$A$15,'Vendor Master'!$B$6:$B$15,""),"")</f>
        <v/>
      </c>
      <c r="J1510">
        <f>IF(A1510="","",TEXT(A1510,"mmm-yyyy"))</f>
        <v/>
      </c>
    </row>
    <row r="1511">
      <c r="D1511">
        <f>IFERROR(XLOOKUP(C1511,'Vendor Master'!$A$6:$A$15,'Vendor Master'!$B$6:$B$15,""),"")</f>
        <v/>
      </c>
      <c r="J1511">
        <f>IF(A1511="","",TEXT(A1511,"mmm-yyyy"))</f>
        <v/>
      </c>
    </row>
    <row r="1512">
      <c r="D1512">
        <f>IFERROR(XLOOKUP(C1512,'Vendor Master'!$A$6:$A$15,'Vendor Master'!$B$6:$B$15,""),"")</f>
        <v/>
      </c>
      <c r="J1512">
        <f>IF(A1512="","",TEXT(A1512,"mmm-yyyy"))</f>
        <v/>
      </c>
    </row>
    <row r="1513">
      <c r="D1513">
        <f>IFERROR(XLOOKUP(C1513,'Vendor Master'!$A$6:$A$15,'Vendor Master'!$B$6:$B$15,""),"")</f>
        <v/>
      </c>
      <c r="J1513">
        <f>IF(A1513="","",TEXT(A1513,"mmm-yyyy"))</f>
        <v/>
      </c>
    </row>
    <row r="1514">
      <c r="D1514">
        <f>IFERROR(XLOOKUP(C1514,'Vendor Master'!$A$6:$A$15,'Vendor Master'!$B$6:$B$15,""),"")</f>
        <v/>
      </c>
      <c r="J1514">
        <f>IF(A1514="","",TEXT(A1514,"mmm-yyyy"))</f>
        <v/>
      </c>
    </row>
    <row r="1515">
      <c r="D1515">
        <f>IFERROR(XLOOKUP(C1515,'Vendor Master'!$A$6:$A$15,'Vendor Master'!$B$6:$B$15,""),"")</f>
        <v/>
      </c>
      <c r="J1515">
        <f>IF(A1515="","",TEXT(A1515,"mmm-yyyy"))</f>
        <v/>
      </c>
    </row>
    <row r="1516">
      <c r="D1516">
        <f>IFERROR(XLOOKUP(C1516,'Vendor Master'!$A$6:$A$15,'Vendor Master'!$B$6:$B$15,""),"")</f>
        <v/>
      </c>
      <c r="J1516">
        <f>IF(A1516="","",TEXT(A1516,"mmm-yyyy"))</f>
        <v/>
      </c>
    </row>
    <row r="1517">
      <c r="D1517">
        <f>IFERROR(XLOOKUP(C1517,'Vendor Master'!$A$6:$A$15,'Vendor Master'!$B$6:$B$15,""),"")</f>
        <v/>
      </c>
      <c r="J1517">
        <f>IF(A1517="","",TEXT(A1517,"mmm-yyyy"))</f>
        <v/>
      </c>
    </row>
    <row r="1518">
      <c r="D1518">
        <f>IFERROR(XLOOKUP(C1518,'Vendor Master'!$A$6:$A$15,'Vendor Master'!$B$6:$B$15,""),"")</f>
        <v/>
      </c>
      <c r="J1518">
        <f>IF(A1518="","",TEXT(A1518,"mmm-yyyy"))</f>
        <v/>
      </c>
    </row>
    <row r="1519">
      <c r="D1519">
        <f>IFERROR(XLOOKUP(C1519,'Vendor Master'!$A$6:$A$15,'Vendor Master'!$B$6:$B$15,""),"")</f>
        <v/>
      </c>
      <c r="J1519">
        <f>IF(A1519="","",TEXT(A1519,"mmm-yyyy"))</f>
        <v/>
      </c>
    </row>
    <row r="1520">
      <c r="D1520">
        <f>IFERROR(XLOOKUP(C1520,'Vendor Master'!$A$6:$A$15,'Vendor Master'!$B$6:$B$15,""),"")</f>
        <v/>
      </c>
      <c r="J1520">
        <f>IF(A1520="","",TEXT(A1520,"mmm-yyyy"))</f>
        <v/>
      </c>
    </row>
    <row r="1521">
      <c r="D1521">
        <f>IFERROR(XLOOKUP(C1521,'Vendor Master'!$A$6:$A$15,'Vendor Master'!$B$6:$B$15,""),"")</f>
        <v/>
      </c>
      <c r="J1521">
        <f>IF(A1521="","",TEXT(A1521,"mmm-yyyy"))</f>
        <v/>
      </c>
    </row>
    <row r="1522">
      <c r="D1522">
        <f>IFERROR(XLOOKUP(C1522,'Vendor Master'!$A$6:$A$15,'Vendor Master'!$B$6:$B$15,""),"")</f>
        <v/>
      </c>
      <c r="J1522">
        <f>IF(A1522="","",TEXT(A1522,"mmm-yyyy"))</f>
        <v/>
      </c>
    </row>
    <row r="1523">
      <c r="D1523">
        <f>IFERROR(XLOOKUP(C1523,'Vendor Master'!$A$6:$A$15,'Vendor Master'!$B$6:$B$15,""),"")</f>
        <v/>
      </c>
      <c r="J1523">
        <f>IF(A1523="","",TEXT(A1523,"mmm-yyyy"))</f>
        <v/>
      </c>
    </row>
    <row r="1524">
      <c r="D1524">
        <f>IFERROR(XLOOKUP(C1524,'Vendor Master'!$A$6:$A$15,'Vendor Master'!$B$6:$B$15,""),"")</f>
        <v/>
      </c>
      <c r="J1524">
        <f>IF(A1524="","",TEXT(A1524,"mmm-yyyy"))</f>
        <v/>
      </c>
    </row>
    <row r="1525">
      <c r="D1525">
        <f>IFERROR(XLOOKUP(C1525,'Vendor Master'!$A$6:$A$15,'Vendor Master'!$B$6:$B$15,""),"")</f>
        <v/>
      </c>
      <c r="J1525">
        <f>IF(A1525="","",TEXT(A1525,"mmm-yyyy"))</f>
        <v/>
      </c>
    </row>
    <row r="1526">
      <c r="D1526">
        <f>IFERROR(XLOOKUP(C1526,'Vendor Master'!$A$6:$A$15,'Vendor Master'!$B$6:$B$15,""),"")</f>
        <v/>
      </c>
      <c r="J1526">
        <f>IF(A1526="","",TEXT(A1526,"mmm-yyyy"))</f>
        <v/>
      </c>
    </row>
    <row r="1527">
      <c r="D1527">
        <f>IFERROR(XLOOKUP(C1527,'Vendor Master'!$A$6:$A$15,'Vendor Master'!$B$6:$B$15,""),"")</f>
        <v/>
      </c>
      <c r="J1527">
        <f>IF(A1527="","",TEXT(A1527,"mmm-yyyy"))</f>
        <v/>
      </c>
    </row>
    <row r="1528">
      <c r="D1528">
        <f>IFERROR(XLOOKUP(C1528,'Vendor Master'!$A$6:$A$15,'Vendor Master'!$B$6:$B$15,""),"")</f>
        <v/>
      </c>
      <c r="J1528">
        <f>IF(A1528="","",TEXT(A1528,"mmm-yyyy"))</f>
        <v/>
      </c>
    </row>
    <row r="1529">
      <c r="D1529">
        <f>IFERROR(XLOOKUP(C1529,'Vendor Master'!$A$6:$A$15,'Vendor Master'!$B$6:$B$15,""),"")</f>
        <v/>
      </c>
      <c r="J1529">
        <f>IF(A1529="","",TEXT(A1529,"mmm-yyyy"))</f>
        <v/>
      </c>
    </row>
    <row r="1530">
      <c r="D1530">
        <f>IFERROR(XLOOKUP(C1530,'Vendor Master'!$A$6:$A$15,'Vendor Master'!$B$6:$B$15,""),"")</f>
        <v/>
      </c>
      <c r="J1530">
        <f>IF(A1530="","",TEXT(A1530,"mmm-yyyy"))</f>
        <v/>
      </c>
    </row>
    <row r="1531">
      <c r="D1531">
        <f>IFERROR(XLOOKUP(C1531,'Vendor Master'!$A$6:$A$15,'Vendor Master'!$B$6:$B$15,""),"")</f>
        <v/>
      </c>
      <c r="J1531">
        <f>IF(A1531="","",TEXT(A1531,"mmm-yyyy"))</f>
        <v/>
      </c>
    </row>
    <row r="1532">
      <c r="D1532">
        <f>IFERROR(XLOOKUP(C1532,'Vendor Master'!$A$6:$A$15,'Vendor Master'!$B$6:$B$15,""),"")</f>
        <v/>
      </c>
      <c r="J1532">
        <f>IF(A1532="","",TEXT(A1532,"mmm-yyyy"))</f>
        <v/>
      </c>
    </row>
    <row r="1533">
      <c r="D1533">
        <f>IFERROR(XLOOKUP(C1533,'Vendor Master'!$A$6:$A$15,'Vendor Master'!$B$6:$B$15,""),"")</f>
        <v/>
      </c>
      <c r="J1533">
        <f>IF(A1533="","",TEXT(A1533,"mmm-yyyy"))</f>
        <v/>
      </c>
    </row>
    <row r="1534">
      <c r="D1534">
        <f>IFERROR(XLOOKUP(C1534,'Vendor Master'!$A$6:$A$15,'Vendor Master'!$B$6:$B$15,""),"")</f>
        <v/>
      </c>
      <c r="J1534">
        <f>IF(A1534="","",TEXT(A1534,"mmm-yyyy"))</f>
        <v/>
      </c>
    </row>
    <row r="1535">
      <c r="D1535">
        <f>IFERROR(XLOOKUP(C1535,'Vendor Master'!$A$6:$A$15,'Vendor Master'!$B$6:$B$15,""),"")</f>
        <v/>
      </c>
      <c r="J1535">
        <f>IF(A1535="","",TEXT(A1535,"mmm-yyyy"))</f>
        <v/>
      </c>
    </row>
    <row r="1536">
      <c r="D1536">
        <f>IFERROR(XLOOKUP(C1536,'Vendor Master'!$A$6:$A$15,'Vendor Master'!$B$6:$B$15,""),"")</f>
        <v/>
      </c>
      <c r="J1536">
        <f>IF(A1536="","",TEXT(A1536,"mmm-yyyy"))</f>
        <v/>
      </c>
    </row>
    <row r="1537">
      <c r="D1537">
        <f>IFERROR(XLOOKUP(C1537,'Vendor Master'!$A$6:$A$15,'Vendor Master'!$B$6:$B$15,""),"")</f>
        <v/>
      </c>
      <c r="J1537">
        <f>IF(A1537="","",TEXT(A1537,"mmm-yyyy"))</f>
        <v/>
      </c>
    </row>
    <row r="1538">
      <c r="D1538">
        <f>IFERROR(XLOOKUP(C1538,'Vendor Master'!$A$6:$A$15,'Vendor Master'!$B$6:$B$15,""),"")</f>
        <v/>
      </c>
      <c r="J1538">
        <f>IF(A1538="","",TEXT(A1538,"mmm-yyyy"))</f>
        <v/>
      </c>
    </row>
    <row r="1539">
      <c r="D1539">
        <f>IFERROR(XLOOKUP(C1539,'Vendor Master'!$A$6:$A$15,'Vendor Master'!$B$6:$B$15,""),"")</f>
        <v/>
      </c>
      <c r="J1539">
        <f>IF(A1539="","",TEXT(A1539,"mmm-yyyy"))</f>
        <v/>
      </c>
    </row>
    <row r="1540">
      <c r="D1540">
        <f>IFERROR(XLOOKUP(C1540,'Vendor Master'!$A$6:$A$15,'Vendor Master'!$B$6:$B$15,""),"")</f>
        <v/>
      </c>
      <c r="J1540">
        <f>IF(A1540="","",TEXT(A1540,"mmm-yyyy"))</f>
        <v/>
      </c>
    </row>
    <row r="1541">
      <c r="D1541">
        <f>IFERROR(XLOOKUP(C1541,'Vendor Master'!$A$6:$A$15,'Vendor Master'!$B$6:$B$15,""),"")</f>
        <v/>
      </c>
      <c r="J1541">
        <f>IF(A1541="","",TEXT(A1541,"mmm-yyyy"))</f>
        <v/>
      </c>
    </row>
    <row r="1542">
      <c r="D1542">
        <f>IFERROR(XLOOKUP(C1542,'Vendor Master'!$A$6:$A$15,'Vendor Master'!$B$6:$B$15,""),"")</f>
        <v/>
      </c>
      <c r="J1542">
        <f>IF(A1542="","",TEXT(A1542,"mmm-yyyy"))</f>
        <v/>
      </c>
    </row>
    <row r="1543">
      <c r="D1543">
        <f>IFERROR(XLOOKUP(C1543,'Vendor Master'!$A$6:$A$15,'Vendor Master'!$B$6:$B$15,""),"")</f>
        <v/>
      </c>
      <c r="J1543">
        <f>IF(A1543="","",TEXT(A1543,"mmm-yyyy"))</f>
        <v/>
      </c>
    </row>
    <row r="1544">
      <c r="D1544">
        <f>IFERROR(XLOOKUP(C1544,'Vendor Master'!$A$6:$A$15,'Vendor Master'!$B$6:$B$15,""),"")</f>
        <v/>
      </c>
      <c r="J1544">
        <f>IF(A1544="","",TEXT(A1544,"mmm-yyyy"))</f>
        <v/>
      </c>
    </row>
    <row r="1545">
      <c r="D1545">
        <f>IFERROR(XLOOKUP(C1545,'Vendor Master'!$A$6:$A$15,'Vendor Master'!$B$6:$B$15,""),"")</f>
        <v/>
      </c>
      <c r="J1545">
        <f>IF(A1545="","",TEXT(A1545,"mmm-yyyy"))</f>
        <v/>
      </c>
    </row>
    <row r="1546">
      <c r="D1546">
        <f>IFERROR(XLOOKUP(C1546,'Vendor Master'!$A$6:$A$15,'Vendor Master'!$B$6:$B$15,""),"")</f>
        <v/>
      </c>
      <c r="J1546">
        <f>IF(A1546="","",TEXT(A1546,"mmm-yyyy"))</f>
        <v/>
      </c>
    </row>
    <row r="1547">
      <c r="D1547">
        <f>IFERROR(XLOOKUP(C1547,'Vendor Master'!$A$6:$A$15,'Vendor Master'!$B$6:$B$15,""),"")</f>
        <v/>
      </c>
      <c r="J1547">
        <f>IF(A1547="","",TEXT(A1547,"mmm-yyyy"))</f>
        <v/>
      </c>
    </row>
    <row r="1548">
      <c r="D1548">
        <f>IFERROR(XLOOKUP(C1548,'Vendor Master'!$A$6:$A$15,'Vendor Master'!$B$6:$B$15,""),"")</f>
        <v/>
      </c>
      <c r="J1548">
        <f>IF(A1548="","",TEXT(A1548,"mmm-yyyy"))</f>
        <v/>
      </c>
    </row>
    <row r="1549">
      <c r="D1549">
        <f>IFERROR(XLOOKUP(C1549,'Vendor Master'!$A$6:$A$15,'Vendor Master'!$B$6:$B$15,""),"")</f>
        <v/>
      </c>
      <c r="J1549">
        <f>IF(A1549="","",TEXT(A1549,"mmm-yyyy"))</f>
        <v/>
      </c>
    </row>
    <row r="1550">
      <c r="D1550">
        <f>IFERROR(XLOOKUP(C1550,'Vendor Master'!$A$6:$A$15,'Vendor Master'!$B$6:$B$15,""),"")</f>
        <v/>
      </c>
      <c r="J1550">
        <f>IF(A1550="","",TEXT(A1550,"mmm-yyyy"))</f>
        <v/>
      </c>
    </row>
    <row r="1551">
      <c r="D1551">
        <f>IFERROR(XLOOKUP(C1551,'Vendor Master'!$A$6:$A$15,'Vendor Master'!$B$6:$B$15,""),"")</f>
        <v/>
      </c>
      <c r="J1551">
        <f>IF(A1551="","",TEXT(A1551,"mmm-yyyy"))</f>
        <v/>
      </c>
    </row>
    <row r="1552">
      <c r="D1552">
        <f>IFERROR(XLOOKUP(C1552,'Vendor Master'!$A$6:$A$15,'Vendor Master'!$B$6:$B$15,""),"")</f>
        <v/>
      </c>
      <c r="J1552">
        <f>IF(A1552="","",TEXT(A1552,"mmm-yyyy"))</f>
        <v/>
      </c>
    </row>
    <row r="1553">
      <c r="D1553">
        <f>IFERROR(XLOOKUP(C1553,'Vendor Master'!$A$6:$A$15,'Vendor Master'!$B$6:$B$15,""),"")</f>
        <v/>
      </c>
      <c r="J1553">
        <f>IF(A1553="","",TEXT(A1553,"mmm-yyyy"))</f>
        <v/>
      </c>
    </row>
    <row r="1554">
      <c r="D1554">
        <f>IFERROR(XLOOKUP(C1554,'Vendor Master'!$A$6:$A$15,'Vendor Master'!$B$6:$B$15,""),"")</f>
        <v/>
      </c>
      <c r="J1554">
        <f>IF(A1554="","",TEXT(A1554,"mmm-yyyy"))</f>
        <v/>
      </c>
    </row>
    <row r="1555">
      <c r="D1555">
        <f>IFERROR(XLOOKUP(C1555,'Vendor Master'!$A$6:$A$15,'Vendor Master'!$B$6:$B$15,""),"")</f>
        <v/>
      </c>
      <c r="J1555">
        <f>IF(A1555="","",TEXT(A1555,"mmm-yyyy"))</f>
        <v/>
      </c>
    </row>
    <row r="1556">
      <c r="D1556">
        <f>IFERROR(XLOOKUP(C1556,'Vendor Master'!$A$6:$A$15,'Vendor Master'!$B$6:$B$15,""),"")</f>
        <v/>
      </c>
      <c r="J1556">
        <f>IF(A1556="","",TEXT(A1556,"mmm-yyyy"))</f>
        <v/>
      </c>
    </row>
    <row r="1557">
      <c r="D1557">
        <f>IFERROR(XLOOKUP(C1557,'Vendor Master'!$A$6:$A$15,'Vendor Master'!$B$6:$B$15,""),"")</f>
        <v/>
      </c>
      <c r="J1557">
        <f>IF(A1557="","",TEXT(A1557,"mmm-yyyy"))</f>
        <v/>
      </c>
    </row>
    <row r="1558">
      <c r="D1558">
        <f>IFERROR(XLOOKUP(C1558,'Vendor Master'!$A$6:$A$15,'Vendor Master'!$B$6:$B$15,""),"")</f>
        <v/>
      </c>
      <c r="J1558">
        <f>IF(A1558="","",TEXT(A1558,"mmm-yyyy"))</f>
        <v/>
      </c>
    </row>
    <row r="1559">
      <c r="D1559">
        <f>IFERROR(XLOOKUP(C1559,'Vendor Master'!$A$6:$A$15,'Vendor Master'!$B$6:$B$15,""),"")</f>
        <v/>
      </c>
      <c r="J1559">
        <f>IF(A1559="","",TEXT(A1559,"mmm-yyyy"))</f>
        <v/>
      </c>
    </row>
    <row r="1560">
      <c r="D1560">
        <f>IFERROR(XLOOKUP(C1560,'Vendor Master'!$A$6:$A$15,'Vendor Master'!$B$6:$B$15,""),"")</f>
        <v/>
      </c>
      <c r="J1560">
        <f>IF(A1560="","",TEXT(A1560,"mmm-yyyy"))</f>
        <v/>
      </c>
    </row>
    <row r="1561">
      <c r="D1561">
        <f>IFERROR(XLOOKUP(C1561,'Vendor Master'!$A$6:$A$15,'Vendor Master'!$B$6:$B$15,""),"")</f>
        <v/>
      </c>
      <c r="J1561">
        <f>IF(A1561="","",TEXT(A1561,"mmm-yyyy"))</f>
        <v/>
      </c>
    </row>
    <row r="1562">
      <c r="D1562">
        <f>IFERROR(XLOOKUP(C1562,'Vendor Master'!$A$6:$A$15,'Vendor Master'!$B$6:$B$15,""),"")</f>
        <v/>
      </c>
      <c r="J1562">
        <f>IF(A1562="","",TEXT(A1562,"mmm-yyyy"))</f>
        <v/>
      </c>
    </row>
    <row r="1563">
      <c r="D1563">
        <f>IFERROR(XLOOKUP(C1563,'Vendor Master'!$A$6:$A$15,'Vendor Master'!$B$6:$B$15,""),"")</f>
        <v/>
      </c>
      <c r="J1563">
        <f>IF(A1563="","",TEXT(A1563,"mmm-yyyy"))</f>
        <v/>
      </c>
    </row>
    <row r="1564">
      <c r="D1564">
        <f>IFERROR(XLOOKUP(C1564,'Vendor Master'!$A$6:$A$15,'Vendor Master'!$B$6:$B$15,""),"")</f>
        <v/>
      </c>
      <c r="J1564">
        <f>IF(A1564="","",TEXT(A1564,"mmm-yyyy"))</f>
        <v/>
      </c>
    </row>
    <row r="1565">
      <c r="D1565">
        <f>IFERROR(XLOOKUP(C1565,'Vendor Master'!$A$6:$A$15,'Vendor Master'!$B$6:$B$15,""),"")</f>
        <v/>
      </c>
      <c r="J1565">
        <f>IF(A1565="","",TEXT(A1565,"mmm-yyyy"))</f>
        <v/>
      </c>
    </row>
    <row r="1566">
      <c r="D1566">
        <f>IFERROR(XLOOKUP(C1566,'Vendor Master'!$A$6:$A$15,'Vendor Master'!$B$6:$B$15,""),"")</f>
        <v/>
      </c>
      <c r="J1566">
        <f>IF(A1566="","",TEXT(A1566,"mmm-yyyy"))</f>
        <v/>
      </c>
    </row>
    <row r="1567">
      <c r="D1567">
        <f>IFERROR(XLOOKUP(C1567,'Vendor Master'!$A$6:$A$15,'Vendor Master'!$B$6:$B$15,""),"")</f>
        <v/>
      </c>
      <c r="J1567">
        <f>IF(A1567="","",TEXT(A1567,"mmm-yyyy"))</f>
        <v/>
      </c>
    </row>
    <row r="1568">
      <c r="D1568">
        <f>IFERROR(XLOOKUP(C1568,'Vendor Master'!$A$6:$A$15,'Vendor Master'!$B$6:$B$15,""),"")</f>
        <v/>
      </c>
      <c r="J1568">
        <f>IF(A1568="","",TEXT(A1568,"mmm-yyyy"))</f>
        <v/>
      </c>
    </row>
    <row r="1569">
      <c r="D1569">
        <f>IFERROR(XLOOKUP(C1569,'Vendor Master'!$A$6:$A$15,'Vendor Master'!$B$6:$B$15,""),"")</f>
        <v/>
      </c>
      <c r="J1569">
        <f>IF(A1569="","",TEXT(A1569,"mmm-yyyy"))</f>
        <v/>
      </c>
    </row>
    <row r="1570">
      <c r="D1570">
        <f>IFERROR(XLOOKUP(C1570,'Vendor Master'!$A$6:$A$15,'Vendor Master'!$B$6:$B$15,""),"")</f>
        <v/>
      </c>
      <c r="J1570">
        <f>IF(A1570="","",TEXT(A1570,"mmm-yyyy"))</f>
        <v/>
      </c>
    </row>
    <row r="1571">
      <c r="D1571">
        <f>IFERROR(XLOOKUP(C1571,'Vendor Master'!$A$6:$A$15,'Vendor Master'!$B$6:$B$15,""),"")</f>
        <v/>
      </c>
      <c r="J1571">
        <f>IF(A1571="","",TEXT(A1571,"mmm-yyyy"))</f>
        <v/>
      </c>
    </row>
    <row r="1572">
      <c r="D1572">
        <f>IFERROR(XLOOKUP(C1572,'Vendor Master'!$A$6:$A$15,'Vendor Master'!$B$6:$B$15,""),"")</f>
        <v/>
      </c>
      <c r="J1572">
        <f>IF(A1572="","",TEXT(A1572,"mmm-yyyy"))</f>
        <v/>
      </c>
    </row>
    <row r="1573">
      <c r="D1573">
        <f>IFERROR(XLOOKUP(C1573,'Vendor Master'!$A$6:$A$15,'Vendor Master'!$B$6:$B$15,""),"")</f>
        <v/>
      </c>
      <c r="J1573">
        <f>IF(A1573="","",TEXT(A1573,"mmm-yyyy"))</f>
        <v/>
      </c>
    </row>
    <row r="1574">
      <c r="D1574">
        <f>IFERROR(XLOOKUP(C1574,'Vendor Master'!$A$6:$A$15,'Vendor Master'!$B$6:$B$15,""),"")</f>
        <v/>
      </c>
      <c r="J1574">
        <f>IF(A1574="","",TEXT(A1574,"mmm-yyyy"))</f>
        <v/>
      </c>
    </row>
    <row r="1575">
      <c r="D1575">
        <f>IFERROR(XLOOKUP(C1575,'Vendor Master'!$A$6:$A$15,'Vendor Master'!$B$6:$B$15,""),"")</f>
        <v/>
      </c>
      <c r="J1575">
        <f>IF(A1575="","",TEXT(A1575,"mmm-yyyy"))</f>
        <v/>
      </c>
    </row>
    <row r="1576">
      <c r="D1576">
        <f>IFERROR(XLOOKUP(C1576,'Vendor Master'!$A$6:$A$15,'Vendor Master'!$B$6:$B$15,""),"")</f>
        <v/>
      </c>
      <c r="J1576">
        <f>IF(A1576="","",TEXT(A1576,"mmm-yyyy"))</f>
        <v/>
      </c>
    </row>
    <row r="1577">
      <c r="D1577">
        <f>IFERROR(XLOOKUP(C1577,'Vendor Master'!$A$6:$A$15,'Vendor Master'!$B$6:$B$15,""),"")</f>
        <v/>
      </c>
      <c r="J1577">
        <f>IF(A1577="","",TEXT(A1577,"mmm-yyyy"))</f>
        <v/>
      </c>
    </row>
    <row r="1578">
      <c r="D1578">
        <f>IFERROR(XLOOKUP(C1578,'Vendor Master'!$A$6:$A$15,'Vendor Master'!$B$6:$B$15,""),"")</f>
        <v/>
      </c>
      <c r="J1578">
        <f>IF(A1578="","",TEXT(A1578,"mmm-yyyy"))</f>
        <v/>
      </c>
    </row>
    <row r="1579">
      <c r="D1579">
        <f>IFERROR(XLOOKUP(C1579,'Vendor Master'!$A$6:$A$15,'Vendor Master'!$B$6:$B$15,""),"")</f>
        <v/>
      </c>
      <c r="J1579">
        <f>IF(A1579="","",TEXT(A1579,"mmm-yyyy"))</f>
        <v/>
      </c>
    </row>
    <row r="1580">
      <c r="D1580">
        <f>IFERROR(XLOOKUP(C1580,'Vendor Master'!$A$6:$A$15,'Vendor Master'!$B$6:$B$15,""),"")</f>
        <v/>
      </c>
      <c r="J1580">
        <f>IF(A1580="","",TEXT(A1580,"mmm-yyyy"))</f>
        <v/>
      </c>
    </row>
    <row r="1581">
      <c r="D1581">
        <f>IFERROR(XLOOKUP(C1581,'Vendor Master'!$A$6:$A$15,'Vendor Master'!$B$6:$B$15,""),"")</f>
        <v/>
      </c>
      <c r="J1581">
        <f>IF(A1581="","",TEXT(A1581,"mmm-yyyy"))</f>
        <v/>
      </c>
    </row>
    <row r="1582">
      <c r="D1582">
        <f>IFERROR(XLOOKUP(C1582,'Vendor Master'!$A$6:$A$15,'Vendor Master'!$B$6:$B$15,""),"")</f>
        <v/>
      </c>
      <c r="J1582">
        <f>IF(A1582="","",TEXT(A1582,"mmm-yyyy"))</f>
        <v/>
      </c>
    </row>
    <row r="1583">
      <c r="D1583">
        <f>IFERROR(XLOOKUP(C1583,'Vendor Master'!$A$6:$A$15,'Vendor Master'!$B$6:$B$15,""),"")</f>
        <v/>
      </c>
      <c r="J1583">
        <f>IF(A1583="","",TEXT(A1583,"mmm-yyyy"))</f>
        <v/>
      </c>
    </row>
    <row r="1584">
      <c r="D1584">
        <f>IFERROR(XLOOKUP(C1584,'Vendor Master'!$A$6:$A$15,'Vendor Master'!$B$6:$B$15,""),"")</f>
        <v/>
      </c>
      <c r="J1584">
        <f>IF(A1584="","",TEXT(A1584,"mmm-yyyy"))</f>
        <v/>
      </c>
    </row>
    <row r="1585">
      <c r="D1585">
        <f>IFERROR(XLOOKUP(C1585,'Vendor Master'!$A$6:$A$15,'Vendor Master'!$B$6:$B$15,""),"")</f>
        <v/>
      </c>
      <c r="J1585">
        <f>IF(A1585="","",TEXT(A1585,"mmm-yyyy"))</f>
        <v/>
      </c>
    </row>
    <row r="1586">
      <c r="D1586">
        <f>IFERROR(XLOOKUP(C1586,'Vendor Master'!$A$6:$A$15,'Vendor Master'!$B$6:$B$15,""),"")</f>
        <v/>
      </c>
      <c r="J1586">
        <f>IF(A1586="","",TEXT(A1586,"mmm-yyyy"))</f>
        <v/>
      </c>
    </row>
    <row r="1587">
      <c r="D1587">
        <f>IFERROR(XLOOKUP(C1587,'Vendor Master'!$A$6:$A$15,'Vendor Master'!$B$6:$B$15,""),"")</f>
        <v/>
      </c>
      <c r="J1587">
        <f>IF(A1587="","",TEXT(A1587,"mmm-yyyy"))</f>
        <v/>
      </c>
    </row>
    <row r="1588">
      <c r="D1588">
        <f>IFERROR(XLOOKUP(C1588,'Vendor Master'!$A$6:$A$15,'Vendor Master'!$B$6:$B$15,""),"")</f>
        <v/>
      </c>
      <c r="J1588">
        <f>IF(A1588="","",TEXT(A1588,"mmm-yyyy"))</f>
        <v/>
      </c>
    </row>
    <row r="1589">
      <c r="D1589">
        <f>IFERROR(XLOOKUP(C1589,'Vendor Master'!$A$6:$A$15,'Vendor Master'!$B$6:$B$15,""),"")</f>
        <v/>
      </c>
      <c r="J1589">
        <f>IF(A1589="","",TEXT(A1589,"mmm-yyyy"))</f>
        <v/>
      </c>
    </row>
    <row r="1590">
      <c r="D1590">
        <f>IFERROR(XLOOKUP(C1590,'Vendor Master'!$A$6:$A$15,'Vendor Master'!$B$6:$B$15,""),"")</f>
        <v/>
      </c>
      <c r="J1590">
        <f>IF(A1590="","",TEXT(A1590,"mmm-yyyy"))</f>
        <v/>
      </c>
    </row>
    <row r="1591">
      <c r="D1591">
        <f>IFERROR(XLOOKUP(C1591,'Vendor Master'!$A$6:$A$15,'Vendor Master'!$B$6:$B$15,""),"")</f>
        <v/>
      </c>
      <c r="J1591">
        <f>IF(A1591="","",TEXT(A1591,"mmm-yyyy"))</f>
        <v/>
      </c>
    </row>
    <row r="1592">
      <c r="D1592">
        <f>IFERROR(XLOOKUP(C1592,'Vendor Master'!$A$6:$A$15,'Vendor Master'!$B$6:$B$15,""),"")</f>
        <v/>
      </c>
      <c r="J1592">
        <f>IF(A1592="","",TEXT(A1592,"mmm-yyyy"))</f>
        <v/>
      </c>
    </row>
    <row r="1593">
      <c r="D1593">
        <f>IFERROR(XLOOKUP(C1593,'Vendor Master'!$A$6:$A$15,'Vendor Master'!$B$6:$B$15,""),"")</f>
        <v/>
      </c>
      <c r="J1593">
        <f>IF(A1593="","",TEXT(A1593,"mmm-yyyy"))</f>
        <v/>
      </c>
    </row>
    <row r="1594">
      <c r="D1594">
        <f>IFERROR(XLOOKUP(C1594,'Vendor Master'!$A$6:$A$15,'Vendor Master'!$B$6:$B$15,""),"")</f>
        <v/>
      </c>
      <c r="J1594">
        <f>IF(A1594="","",TEXT(A1594,"mmm-yyyy"))</f>
        <v/>
      </c>
    </row>
    <row r="1595">
      <c r="D1595">
        <f>IFERROR(XLOOKUP(C1595,'Vendor Master'!$A$6:$A$15,'Vendor Master'!$B$6:$B$15,""),"")</f>
        <v/>
      </c>
      <c r="J1595">
        <f>IF(A1595="","",TEXT(A1595,"mmm-yyyy"))</f>
        <v/>
      </c>
    </row>
    <row r="1596">
      <c r="D1596">
        <f>IFERROR(XLOOKUP(C1596,'Vendor Master'!$A$6:$A$15,'Vendor Master'!$B$6:$B$15,""),"")</f>
        <v/>
      </c>
      <c r="J1596">
        <f>IF(A1596="","",TEXT(A1596,"mmm-yyyy"))</f>
        <v/>
      </c>
    </row>
    <row r="1597">
      <c r="D1597">
        <f>IFERROR(XLOOKUP(C1597,'Vendor Master'!$A$6:$A$15,'Vendor Master'!$B$6:$B$15,""),"")</f>
        <v/>
      </c>
      <c r="J1597">
        <f>IF(A1597="","",TEXT(A1597,"mmm-yyyy"))</f>
        <v/>
      </c>
    </row>
    <row r="1598">
      <c r="D1598">
        <f>IFERROR(XLOOKUP(C1598,'Vendor Master'!$A$6:$A$15,'Vendor Master'!$B$6:$B$15,""),"")</f>
        <v/>
      </c>
      <c r="J1598">
        <f>IF(A1598="","",TEXT(A1598,"mmm-yyyy"))</f>
        <v/>
      </c>
    </row>
    <row r="1599">
      <c r="D1599">
        <f>IFERROR(XLOOKUP(C1599,'Vendor Master'!$A$6:$A$15,'Vendor Master'!$B$6:$B$15,""),"")</f>
        <v/>
      </c>
      <c r="J1599">
        <f>IF(A1599="","",TEXT(A1599,"mmm-yyyy"))</f>
        <v/>
      </c>
    </row>
    <row r="1600">
      <c r="D1600">
        <f>IFERROR(XLOOKUP(C1600,'Vendor Master'!$A$6:$A$15,'Vendor Master'!$B$6:$B$15,""),"")</f>
        <v/>
      </c>
      <c r="J1600">
        <f>IF(A1600="","",TEXT(A1600,"mmm-yyyy"))</f>
        <v/>
      </c>
    </row>
    <row r="1601">
      <c r="D1601">
        <f>IFERROR(XLOOKUP(C1601,'Vendor Master'!$A$6:$A$15,'Vendor Master'!$B$6:$B$15,""),"")</f>
        <v/>
      </c>
      <c r="J1601">
        <f>IF(A1601="","",TEXT(A1601,"mmm-yyyy"))</f>
        <v/>
      </c>
    </row>
    <row r="1602">
      <c r="D1602">
        <f>IFERROR(XLOOKUP(C1602,'Vendor Master'!$A$6:$A$15,'Vendor Master'!$B$6:$B$15,""),"")</f>
        <v/>
      </c>
      <c r="J1602">
        <f>IF(A1602="","",TEXT(A1602,"mmm-yyyy"))</f>
        <v/>
      </c>
    </row>
    <row r="1603">
      <c r="D1603">
        <f>IFERROR(XLOOKUP(C1603,'Vendor Master'!$A$6:$A$15,'Vendor Master'!$B$6:$B$15,""),"")</f>
        <v/>
      </c>
      <c r="J1603">
        <f>IF(A1603="","",TEXT(A1603,"mmm-yyyy"))</f>
        <v/>
      </c>
    </row>
    <row r="1604">
      <c r="D1604">
        <f>IFERROR(XLOOKUP(C1604,'Vendor Master'!$A$6:$A$15,'Vendor Master'!$B$6:$B$15,""),"")</f>
        <v/>
      </c>
      <c r="J1604">
        <f>IF(A1604="","",TEXT(A1604,"mmm-yyyy"))</f>
        <v/>
      </c>
    </row>
    <row r="1605">
      <c r="D1605">
        <f>IFERROR(XLOOKUP(C1605,'Vendor Master'!$A$6:$A$15,'Vendor Master'!$B$6:$B$15,""),"")</f>
        <v/>
      </c>
      <c r="J1605">
        <f>IF(A1605="","",TEXT(A1605,"mmm-yyyy"))</f>
        <v/>
      </c>
    </row>
    <row r="1606">
      <c r="D1606">
        <f>IFERROR(XLOOKUP(C1606,'Vendor Master'!$A$6:$A$15,'Vendor Master'!$B$6:$B$15,""),"")</f>
        <v/>
      </c>
      <c r="J1606">
        <f>IF(A1606="","",TEXT(A1606,"mmm-yyyy"))</f>
        <v/>
      </c>
    </row>
    <row r="1607">
      <c r="D1607">
        <f>IFERROR(XLOOKUP(C1607,'Vendor Master'!$A$6:$A$15,'Vendor Master'!$B$6:$B$15,""),"")</f>
        <v/>
      </c>
      <c r="J1607">
        <f>IF(A1607="","",TEXT(A1607,"mmm-yyyy"))</f>
        <v/>
      </c>
    </row>
    <row r="1608">
      <c r="D1608">
        <f>IFERROR(XLOOKUP(C1608,'Vendor Master'!$A$6:$A$15,'Vendor Master'!$B$6:$B$15,""),"")</f>
        <v/>
      </c>
      <c r="J1608">
        <f>IF(A1608="","",TEXT(A1608,"mmm-yyyy"))</f>
        <v/>
      </c>
    </row>
    <row r="1609">
      <c r="D1609">
        <f>IFERROR(XLOOKUP(C1609,'Vendor Master'!$A$6:$A$15,'Vendor Master'!$B$6:$B$15,""),"")</f>
        <v/>
      </c>
      <c r="J1609">
        <f>IF(A1609="","",TEXT(A1609,"mmm-yyyy"))</f>
        <v/>
      </c>
    </row>
    <row r="1610">
      <c r="D1610">
        <f>IFERROR(XLOOKUP(C1610,'Vendor Master'!$A$6:$A$15,'Vendor Master'!$B$6:$B$15,""),"")</f>
        <v/>
      </c>
      <c r="J1610">
        <f>IF(A1610="","",TEXT(A1610,"mmm-yyyy"))</f>
        <v/>
      </c>
    </row>
    <row r="1611">
      <c r="D1611">
        <f>IFERROR(XLOOKUP(C1611,'Vendor Master'!$A$6:$A$15,'Vendor Master'!$B$6:$B$15,""),"")</f>
        <v/>
      </c>
      <c r="J1611">
        <f>IF(A1611="","",TEXT(A1611,"mmm-yyyy"))</f>
        <v/>
      </c>
    </row>
    <row r="1612">
      <c r="D1612">
        <f>IFERROR(XLOOKUP(C1612,'Vendor Master'!$A$6:$A$15,'Vendor Master'!$B$6:$B$15,""),"")</f>
        <v/>
      </c>
      <c r="J1612">
        <f>IF(A1612="","",TEXT(A1612,"mmm-yyyy"))</f>
        <v/>
      </c>
    </row>
    <row r="1613">
      <c r="D1613">
        <f>IFERROR(XLOOKUP(C1613,'Vendor Master'!$A$6:$A$15,'Vendor Master'!$B$6:$B$15,""),"")</f>
        <v/>
      </c>
      <c r="J1613">
        <f>IF(A1613="","",TEXT(A1613,"mmm-yyyy"))</f>
        <v/>
      </c>
    </row>
    <row r="1614">
      <c r="D1614">
        <f>IFERROR(XLOOKUP(C1614,'Vendor Master'!$A$6:$A$15,'Vendor Master'!$B$6:$B$15,""),"")</f>
        <v/>
      </c>
      <c r="J1614">
        <f>IF(A1614="","",TEXT(A1614,"mmm-yyyy"))</f>
        <v/>
      </c>
    </row>
    <row r="1615">
      <c r="D1615">
        <f>IFERROR(XLOOKUP(C1615,'Vendor Master'!$A$6:$A$15,'Vendor Master'!$B$6:$B$15,""),"")</f>
        <v/>
      </c>
      <c r="J1615">
        <f>IF(A1615="","",TEXT(A1615,"mmm-yyyy"))</f>
        <v/>
      </c>
    </row>
    <row r="1616">
      <c r="D1616">
        <f>IFERROR(XLOOKUP(C1616,'Vendor Master'!$A$6:$A$15,'Vendor Master'!$B$6:$B$15,""),"")</f>
        <v/>
      </c>
      <c r="J1616">
        <f>IF(A1616="","",TEXT(A1616,"mmm-yyyy"))</f>
        <v/>
      </c>
    </row>
    <row r="1617">
      <c r="D1617">
        <f>IFERROR(XLOOKUP(C1617,'Vendor Master'!$A$6:$A$15,'Vendor Master'!$B$6:$B$15,""),"")</f>
        <v/>
      </c>
      <c r="J1617">
        <f>IF(A1617="","",TEXT(A1617,"mmm-yyyy"))</f>
        <v/>
      </c>
    </row>
    <row r="1618">
      <c r="D1618">
        <f>IFERROR(XLOOKUP(C1618,'Vendor Master'!$A$6:$A$15,'Vendor Master'!$B$6:$B$15,""),"")</f>
        <v/>
      </c>
      <c r="J1618">
        <f>IF(A1618="","",TEXT(A1618,"mmm-yyyy"))</f>
        <v/>
      </c>
    </row>
    <row r="1619">
      <c r="D1619">
        <f>IFERROR(XLOOKUP(C1619,'Vendor Master'!$A$6:$A$15,'Vendor Master'!$B$6:$B$15,""),"")</f>
        <v/>
      </c>
      <c r="J1619">
        <f>IF(A1619="","",TEXT(A1619,"mmm-yyyy"))</f>
        <v/>
      </c>
    </row>
    <row r="1620">
      <c r="D1620">
        <f>IFERROR(XLOOKUP(C1620,'Vendor Master'!$A$6:$A$15,'Vendor Master'!$B$6:$B$15,""),"")</f>
        <v/>
      </c>
      <c r="J1620">
        <f>IF(A1620="","",TEXT(A1620,"mmm-yyyy"))</f>
        <v/>
      </c>
    </row>
    <row r="1621">
      <c r="D1621">
        <f>IFERROR(XLOOKUP(C1621,'Vendor Master'!$A$6:$A$15,'Vendor Master'!$B$6:$B$15,""),"")</f>
        <v/>
      </c>
      <c r="J1621">
        <f>IF(A1621="","",TEXT(A1621,"mmm-yyyy"))</f>
        <v/>
      </c>
    </row>
    <row r="1622">
      <c r="D1622">
        <f>IFERROR(XLOOKUP(C1622,'Vendor Master'!$A$6:$A$15,'Vendor Master'!$B$6:$B$15,""),"")</f>
        <v/>
      </c>
      <c r="J1622">
        <f>IF(A1622="","",TEXT(A1622,"mmm-yyyy"))</f>
        <v/>
      </c>
    </row>
    <row r="1623">
      <c r="D1623">
        <f>IFERROR(XLOOKUP(C1623,'Vendor Master'!$A$6:$A$15,'Vendor Master'!$B$6:$B$15,""),"")</f>
        <v/>
      </c>
      <c r="J1623">
        <f>IF(A1623="","",TEXT(A1623,"mmm-yyyy"))</f>
        <v/>
      </c>
    </row>
    <row r="1624">
      <c r="D1624">
        <f>IFERROR(XLOOKUP(C1624,'Vendor Master'!$A$6:$A$15,'Vendor Master'!$B$6:$B$15,""),"")</f>
        <v/>
      </c>
      <c r="J1624">
        <f>IF(A1624="","",TEXT(A1624,"mmm-yyyy"))</f>
        <v/>
      </c>
    </row>
    <row r="1625">
      <c r="D1625">
        <f>IFERROR(XLOOKUP(C1625,'Vendor Master'!$A$6:$A$15,'Vendor Master'!$B$6:$B$15,""),"")</f>
        <v/>
      </c>
      <c r="J1625">
        <f>IF(A1625="","",TEXT(A1625,"mmm-yyyy"))</f>
        <v/>
      </c>
    </row>
    <row r="1626">
      <c r="D1626">
        <f>IFERROR(XLOOKUP(C1626,'Vendor Master'!$A$6:$A$15,'Vendor Master'!$B$6:$B$15,""),"")</f>
        <v/>
      </c>
      <c r="J1626">
        <f>IF(A1626="","",TEXT(A1626,"mmm-yyyy"))</f>
        <v/>
      </c>
    </row>
    <row r="1627">
      <c r="D1627">
        <f>IFERROR(XLOOKUP(C1627,'Vendor Master'!$A$6:$A$15,'Vendor Master'!$B$6:$B$15,""),"")</f>
        <v/>
      </c>
      <c r="J1627">
        <f>IF(A1627="","",TEXT(A1627,"mmm-yyyy"))</f>
        <v/>
      </c>
    </row>
    <row r="1628">
      <c r="D1628">
        <f>IFERROR(XLOOKUP(C1628,'Vendor Master'!$A$6:$A$15,'Vendor Master'!$B$6:$B$15,""),"")</f>
        <v/>
      </c>
      <c r="J1628">
        <f>IF(A1628="","",TEXT(A1628,"mmm-yyyy"))</f>
        <v/>
      </c>
    </row>
    <row r="1629">
      <c r="D1629">
        <f>IFERROR(XLOOKUP(C1629,'Vendor Master'!$A$6:$A$15,'Vendor Master'!$B$6:$B$15,""),"")</f>
        <v/>
      </c>
      <c r="J1629">
        <f>IF(A1629="","",TEXT(A1629,"mmm-yyyy"))</f>
        <v/>
      </c>
    </row>
    <row r="1630">
      <c r="D1630">
        <f>IFERROR(XLOOKUP(C1630,'Vendor Master'!$A$6:$A$15,'Vendor Master'!$B$6:$B$15,""),"")</f>
        <v/>
      </c>
      <c r="J1630">
        <f>IF(A1630="","",TEXT(A1630,"mmm-yyyy"))</f>
        <v/>
      </c>
    </row>
    <row r="1631">
      <c r="D1631">
        <f>IFERROR(XLOOKUP(C1631,'Vendor Master'!$A$6:$A$15,'Vendor Master'!$B$6:$B$15,""),"")</f>
        <v/>
      </c>
      <c r="J1631">
        <f>IF(A1631="","",TEXT(A1631,"mmm-yyyy"))</f>
        <v/>
      </c>
    </row>
    <row r="1632">
      <c r="D1632">
        <f>IFERROR(XLOOKUP(C1632,'Vendor Master'!$A$6:$A$15,'Vendor Master'!$B$6:$B$15,""),"")</f>
        <v/>
      </c>
      <c r="J1632">
        <f>IF(A1632="","",TEXT(A1632,"mmm-yyyy"))</f>
        <v/>
      </c>
    </row>
    <row r="1633">
      <c r="D1633">
        <f>IFERROR(XLOOKUP(C1633,'Vendor Master'!$A$6:$A$15,'Vendor Master'!$B$6:$B$15,""),"")</f>
        <v/>
      </c>
      <c r="J1633">
        <f>IF(A1633="","",TEXT(A1633,"mmm-yyyy"))</f>
        <v/>
      </c>
    </row>
    <row r="1634">
      <c r="D1634">
        <f>IFERROR(XLOOKUP(C1634,'Vendor Master'!$A$6:$A$15,'Vendor Master'!$B$6:$B$15,""),"")</f>
        <v/>
      </c>
      <c r="J1634">
        <f>IF(A1634="","",TEXT(A1634,"mmm-yyyy"))</f>
        <v/>
      </c>
    </row>
    <row r="1635">
      <c r="D1635">
        <f>IFERROR(XLOOKUP(C1635,'Vendor Master'!$A$6:$A$15,'Vendor Master'!$B$6:$B$15,""),"")</f>
        <v/>
      </c>
      <c r="J1635">
        <f>IF(A1635="","",TEXT(A1635,"mmm-yyyy"))</f>
        <v/>
      </c>
    </row>
    <row r="1636">
      <c r="D1636">
        <f>IFERROR(XLOOKUP(C1636,'Vendor Master'!$A$6:$A$15,'Vendor Master'!$B$6:$B$15,""),"")</f>
        <v/>
      </c>
      <c r="J1636">
        <f>IF(A1636="","",TEXT(A1636,"mmm-yyyy"))</f>
        <v/>
      </c>
    </row>
    <row r="1637">
      <c r="D1637">
        <f>IFERROR(XLOOKUP(C1637,'Vendor Master'!$A$6:$A$15,'Vendor Master'!$B$6:$B$15,""),"")</f>
        <v/>
      </c>
      <c r="J1637">
        <f>IF(A1637="","",TEXT(A1637,"mmm-yyyy"))</f>
        <v/>
      </c>
    </row>
    <row r="1638">
      <c r="D1638">
        <f>IFERROR(XLOOKUP(C1638,'Vendor Master'!$A$6:$A$15,'Vendor Master'!$B$6:$B$15,""),"")</f>
        <v/>
      </c>
      <c r="J1638">
        <f>IF(A1638="","",TEXT(A1638,"mmm-yyyy"))</f>
        <v/>
      </c>
    </row>
    <row r="1639">
      <c r="D1639">
        <f>IFERROR(XLOOKUP(C1639,'Vendor Master'!$A$6:$A$15,'Vendor Master'!$B$6:$B$15,""),"")</f>
        <v/>
      </c>
      <c r="J1639">
        <f>IF(A1639="","",TEXT(A1639,"mmm-yyyy"))</f>
        <v/>
      </c>
    </row>
    <row r="1640">
      <c r="D1640">
        <f>IFERROR(XLOOKUP(C1640,'Vendor Master'!$A$6:$A$15,'Vendor Master'!$B$6:$B$15,""),"")</f>
        <v/>
      </c>
      <c r="J1640">
        <f>IF(A1640="","",TEXT(A1640,"mmm-yyyy"))</f>
        <v/>
      </c>
    </row>
    <row r="1641">
      <c r="D1641">
        <f>IFERROR(XLOOKUP(C1641,'Vendor Master'!$A$6:$A$15,'Vendor Master'!$B$6:$B$15,""),"")</f>
        <v/>
      </c>
      <c r="J1641">
        <f>IF(A1641="","",TEXT(A1641,"mmm-yyyy"))</f>
        <v/>
      </c>
    </row>
    <row r="1642">
      <c r="D1642">
        <f>IFERROR(XLOOKUP(C1642,'Vendor Master'!$A$6:$A$15,'Vendor Master'!$B$6:$B$15,""),"")</f>
        <v/>
      </c>
      <c r="J1642">
        <f>IF(A1642="","",TEXT(A1642,"mmm-yyyy"))</f>
        <v/>
      </c>
    </row>
    <row r="1643">
      <c r="D1643">
        <f>IFERROR(XLOOKUP(C1643,'Vendor Master'!$A$6:$A$15,'Vendor Master'!$B$6:$B$15,""),"")</f>
        <v/>
      </c>
      <c r="J1643">
        <f>IF(A1643="","",TEXT(A1643,"mmm-yyyy"))</f>
        <v/>
      </c>
    </row>
    <row r="1644">
      <c r="D1644">
        <f>IFERROR(XLOOKUP(C1644,'Vendor Master'!$A$6:$A$15,'Vendor Master'!$B$6:$B$15,""),"")</f>
        <v/>
      </c>
      <c r="J1644">
        <f>IF(A1644="","",TEXT(A1644,"mmm-yyyy"))</f>
        <v/>
      </c>
    </row>
    <row r="1645">
      <c r="D1645">
        <f>IFERROR(XLOOKUP(C1645,'Vendor Master'!$A$6:$A$15,'Vendor Master'!$B$6:$B$15,""),"")</f>
        <v/>
      </c>
      <c r="J1645">
        <f>IF(A1645="","",TEXT(A1645,"mmm-yyyy"))</f>
        <v/>
      </c>
    </row>
    <row r="1646">
      <c r="D1646">
        <f>IFERROR(XLOOKUP(C1646,'Vendor Master'!$A$6:$A$15,'Vendor Master'!$B$6:$B$15,""),"")</f>
        <v/>
      </c>
      <c r="J1646">
        <f>IF(A1646="","",TEXT(A1646,"mmm-yyyy"))</f>
        <v/>
      </c>
    </row>
    <row r="1647">
      <c r="D1647">
        <f>IFERROR(XLOOKUP(C1647,'Vendor Master'!$A$6:$A$15,'Vendor Master'!$B$6:$B$15,""),"")</f>
        <v/>
      </c>
      <c r="J1647">
        <f>IF(A1647="","",TEXT(A1647,"mmm-yyyy"))</f>
        <v/>
      </c>
    </row>
    <row r="1648">
      <c r="D1648">
        <f>IFERROR(XLOOKUP(C1648,'Vendor Master'!$A$6:$A$15,'Vendor Master'!$B$6:$B$15,""),"")</f>
        <v/>
      </c>
      <c r="J1648">
        <f>IF(A1648="","",TEXT(A1648,"mmm-yyyy"))</f>
        <v/>
      </c>
    </row>
    <row r="1649">
      <c r="D1649">
        <f>IFERROR(XLOOKUP(C1649,'Vendor Master'!$A$6:$A$15,'Vendor Master'!$B$6:$B$15,""),"")</f>
        <v/>
      </c>
      <c r="J1649">
        <f>IF(A1649="","",TEXT(A1649,"mmm-yyyy"))</f>
        <v/>
      </c>
    </row>
    <row r="1650">
      <c r="D1650">
        <f>IFERROR(XLOOKUP(C1650,'Vendor Master'!$A$6:$A$15,'Vendor Master'!$B$6:$B$15,""),"")</f>
        <v/>
      </c>
      <c r="J1650">
        <f>IF(A1650="","",TEXT(A1650,"mmm-yyyy"))</f>
        <v/>
      </c>
    </row>
    <row r="1651">
      <c r="D1651">
        <f>IFERROR(XLOOKUP(C1651,'Vendor Master'!$A$6:$A$15,'Vendor Master'!$B$6:$B$15,""),"")</f>
        <v/>
      </c>
      <c r="J1651">
        <f>IF(A1651="","",TEXT(A1651,"mmm-yyyy"))</f>
        <v/>
      </c>
    </row>
    <row r="1652">
      <c r="D1652">
        <f>IFERROR(XLOOKUP(C1652,'Vendor Master'!$A$6:$A$15,'Vendor Master'!$B$6:$B$15,""),"")</f>
        <v/>
      </c>
      <c r="J1652">
        <f>IF(A1652="","",TEXT(A1652,"mmm-yyyy"))</f>
        <v/>
      </c>
    </row>
    <row r="1653">
      <c r="D1653">
        <f>IFERROR(XLOOKUP(C1653,'Vendor Master'!$A$6:$A$15,'Vendor Master'!$B$6:$B$15,""),"")</f>
        <v/>
      </c>
      <c r="J1653">
        <f>IF(A1653="","",TEXT(A1653,"mmm-yyyy"))</f>
        <v/>
      </c>
    </row>
    <row r="1654">
      <c r="D1654">
        <f>IFERROR(XLOOKUP(C1654,'Vendor Master'!$A$6:$A$15,'Vendor Master'!$B$6:$B$15,""),"")</f>
        <v/>
      </c>
      <c r="J1654">
        <f>IF(A1654="","",TEXT(A1654,"mmm-yyyy"))</f>
        <v/>
      </c>
    </row>
    <row r="1655">
      <c r="D1655">
        <f>IFERROR(XLOOKUP(C1655,'Vendor Master'!$A$6:$A$15,'Vendor Master'!$B$6:$B$15,""),"")</f>
        <v/>
      </c>
      <c r="J1655">
        <f>IF(A1655="","",TEXT(A1655,"mmm-yyyy"))</f>
        <v/>
      </c>
    </row>
    <row r="1656">
      <c r="D1656">
        <f>IFERROR(XLOOKUP(C1656,'Vendor Master'!$A$6:$A$15,'Vendor Master'!$B$6:$B$15,""),"")</f>
        <v/>
      </c>
      <c r="J1656">
        <f>IF(A1656="","",TEXT(A1656,"mmm-yyyy"))</f>
        <v/>
      </c>
    </row>
    <row r="1657">
      <c r="D1657">
        <f>IFERROR(XLOOKUP(C1657,'Vendor Master'!$A$6:$A$15,'Vendor Master'!$B$6:$B$15,""),"")</f>
        <v/>
      </c>
      <c r="J1657">
        <f>IF(A1657="","",TEXT(A1657,"mmm-yyyy"))</f>
        <v/>
      </c>
    </row>
    <row r="1658">
      <c r="D1658">
        <f>IFERROR(XLOOKUP(C1658,'Vendor Master'!$A$6:$A$15,'Vendor Master'!$B$6:$B$15,""),"")</f>
        <v/>
      </c>
      <c r="J1658">
        <f>IF(A1658="","",TEXT(A1658,"mmm-yyyy"))</f>
        <v/>
      </c>
    </row>
    <row r="1659">
      <c r="D1659">
        <f>IFERROR(XLOOKUP(C1659,'Vendor Master'!$A$6:$A$15,'Vendor Master'!$B$6:$B$15,""),"")</f>
        <v/>
      </c>
      <c r="J1659">
        <f>IF(A1659="","",TEXT(A1659,"mmm-yyyy"))</f>
        <v/>
      </c>
    </row>
    <row r="1660">
      <c r="D1660">
        <f>IFERROR(XLOOKUP(C1660,'Vendor Master'!$A$6:$A$15,'Vendor Master'!$B$6:$B$15,""),"")</f>
        <v/>
      </c>
      <c r="J1660">
        <f>IF(A1660="","",TEXT(A1660,"mmm-yyyy"))</f>
        <v/>
      </c>
    </row>
    <row r="1661">
      <c r="D1661">
        <f>IFERROR(XLOOKUP(C1661,'Vendor Master'!$A$6:$A$15,'Vendor Master'!$B$6:$B$15,""),"")</f>
        <v/>
      </c>
      <c r="J1661">
        <f>IF(A1661="","",TEXT(A1661,"mmm-yyyy"))</f>
        <v/>
      </c>
    </row>
    <row r="1662">
      <c r="D1662">
        <f>IFERROR(XLOOKUP(C1662,'Vendor Master'!$A$6:$A$15,'Vendor Master'!$B$6:$B$15,""),"")</f>
        <v/>
      </c>
      <c r="J1662">
        <f>IF(A1662="","",TEXT(A1662,"mmm-yyyy"))</f>
        <v/>
      </c>
    </row>
    <row r="1663">
      <c r="D1663">
        <f>IFERROR(XLOOKUP(C1663,'Vendor Master'!$A$6:$A$15,'Vendor Master'!$B$6:$B$15,""),"")</f>
        <v/>
      </c>
      <c r="J1663">
        <f>IF(A1663="","",TEXT(A1663,"mmm-yyyy"))</f>
        <v/>
      </c>
    </row>
    <row r="1664">
      <c r="D1664">
        <f>IFERROR(XLOOKUP(C1664,'Vendor Master'!$A$6:$A$15,'Vendor Master'!$B$6:$B$15,""),"")</f>
        <v/>
      </c>
      <c r="J1664">
        <f>IF(A1664="","",TEXT(A1664,"mmm-yyyy"))</f>
        <v/>
      </c>
    </row>
    <row r="1665">
      <c r="D1665">
        <f>IFERROR(XLOOKUP(C1665,'Vendor Master'!$A$6:$A$15,'Vendor Master'!$B$6:$B$15,""),"")</f>
        <v/>
      </c>
      <c r="J1665">
        <f>IF(A1665="","",TEXT(A1665,"mmm-yyyy"))</f>
        <v/>
      </c>
    </row>
    <row r="1666">
      <c r="D1666">
        <f>IFERROR(XLOOKUP(C1666,'Vendor Master'!$A$6:$A$15,'Vendor Master'!$B$6:$B$15,""),"")</f>
        <v/>
      </c>
      <c r="J1666">
        <f>IF(A1666="","",TEXT(A1666,"mmm-yyyy"))</f>
        <v/>
      </c>
    </row>
    <row r="1667">
      <c r="D1667">
        <f>IFERROR(XLOOKUP(C1667,'Vendor Master'!$A$6:$A$15,'Vendor Master'!$B$6:$B$15,""),"")</f>
        <v/>
      </c>
      <c r="J1667">
        <f>IF(A1667="","",TEXT(A1667,"mmm-yyyy"))</f>
        <v/>
      </c>
    </row>
    <row r="1668">
      <c r="D1668">
        <f>IFERROR(XLOOKUP(C1668,'Vendor Master'!$A$6:$A$15,'Vendor Master'!$B$6:$B$15,""),"")</f>
        <v/>
      </c>
      <c r="J1668">
        <f>IF(A1668="","",TEXT(A1668,"mmm-yyyy"))</f>
        <v/>
      </c>
    </row>
    <row r="1669">
      <c r="D1669">
        <f>IFERROR(XLOOKUP(C1669,'Vendor Master'!$A$6:$A$15,'Vendor Master'!$B$6:$B$15,""),"")</f>
        <v/>
      </c>
      <c r="J1669">
        <f>IF(A1669="","",TEXT(A1669,"mmm-yyyy"))</f>
        <v/>
      </c>
    </row>
    <row r="1670">
      <c r="D1670">
        <f>IFERROR(XLOOKUP(C1670,'Vendor Master'!$A$6:$A$15,'Vendor Master'!$B$6:$B$15,""),"")</f>
        <v/>
      </c>
      <c r="J1670">
        <f>IF(A1670="","",TEXT(A1670,"mmm-yyyy"))</f>
        <v/>
      </c>
    </row>
    <row r="1671">
      <c r="D1671">
        <f>IFERROR(XLOOKUP(C1671,'Vendor Master'!$A$6:$A$15,'Vendor Master'!$B$6:$B$15,""),"")</f>
        <v/>
      </c>
      <c r="J1671">
        <f>IF(A1671="","",TEXT(A1671,"mmm-yyyy"))</f>
        <v/>
      </c>
    </row>
    <row r="1672">
      <c r="D1672">
        <f>IFERROR(XLOOKUP(C1672,'Vendor Master'!$A$6:$A$15,'Vendor Master'!$B$6:$B$15,""),"")</f>
        <v/>
      </c>
      <c r="J1672">
        <f>IF(A1672="","",TEXT(A1672,"mmm-yyyy"))</f>
        <v/>
      </c>
    </row>
    <row r="1673">
      <c r="D1673">
        <f>IFERROR(XLOOKUP(C1673,'Vendor Master'!$A$6:$A$15,'Vendor Master'!$B$6:$B$15,""),"")</f>
        <v/>
      </c>
      <c r="J1673">
        <f>IF(A1673="","",TEXT(A1673,"mmm-yyyy"))</f>
        <v/>
      </c>
    </row>
    <row r="1674">
      <c r="D1674">
        <f>IFERROR(XLOOKUP(C1674,'Vendor Master'!$A$6:$A$15,'Vendor Master'!$B$6:$B$15,""),"")</f>
        <v/>
      </c>
      <c r="J1674">
        <f>IF(A1674="","",TEXT(A1674,"mmm-yyyy"))</f>
        <v/>
      </c>
    </row>
    <row r="1675">
      <c r="D1675">
        <f>IFERROR(XLOOKUP(C1675,'Vendor Master'!$A$6:$A$15,'Vendor Master'!$B$6:$B$15,""),"")</f>
        <v/>
      </c>
      <c r="J1675">
        <f>IF(A1675="","",TEXT(A1675,"mmm-yyyy"))</f>
        <v/>
      </c>
    </row>
    <row r="1676">
      <c r="D1676">
        <f>IFERROR(XLOOKUP(C1676,'Vendor Master'!$A$6:$A$15,'Vendor Master'!$B$6:$B$15,""),"")</f>
        <v/>
      </c>
      <c r="J1676">
        <f>IF(A1676="","",TEXT(A1676,"mmm-yyyy"))</f>
        <v/>
      </c>
    </row>
    <row r="1677">
      <c r="D1677">
        <f>IFERROR(XLOOKUP(C1677,'Vendor Master'!$A$6:$A$15,'Vendor Master'!$B$6:$B$15,""),"")</f>
        <v/>
      </c>
      <c r="J1677">
        <f>IF(A1677="","",TEXT(A1677,"mmm-yyyy"))</f>
        <v/>
      </c>
    </row>
    <row r="1678">
      <c r="D1678">
        <f>IFERROR(XLOOKUP(C1678,'Vendor Master'!$A$6:$A$15,'Vendor Master'!$B$6:$B$15,""),"")</f>
        <v/>
      </c>
      <c r="J1678">
        <f>IF(A1678="","",TEXT(A1678,"mmm-yyyy"))</f>
        <v/>
      </c>
    </row>
    <row r="1679">
      <c r="D1679">
        <f>IFERROR(XLOOKUP(C1679,'Vendor Master'!$A$6:$A$15,'Vendor Master'!$B$6:$B$15,""),"")</f>
        <v/>
      </c>
      <c r="J1679">
        <f>IF(A1679="","",TEXT(A1679,"mmm-yyyy"))</f>
        <v/>
      </c>
    </row>
    <row r="1680">
      <c r="D1680">
        <f>IFERROR(XLOOKUP(C1680,'Vendor Master'!$A$6:$A$15,'Vendor Master'!$B$6:$B$15,""),"")</f>
        <v/>
      </c>
      <c r="J1680">
        <f>IF(A1680="","",TEXT(A1680,"mmm-yyyy"))</f>
        <v/>
      </c>
    </row>
    <row r="1681">
      <c r="D1681">
        <f>IFERROR(XLOOKUP(C1681,'Vendor Master'!$A$6:$A$15,'Vendor Master'!$B$6:$B$15,""),"")</f>
        <v/>
      </c>
      <c r="J1681">
        <f>IF(A1681="","",TEXT(A1681,"mmm-yyyy"))</f>
        <v/>
      </c>
    </row>
    <row r="1682">
      <c r="D1682">
        <f>IFERROR(XLOOKUP(C1682,'Vendor Master'!$A$6:$A$15,'Vendor Master'!$B$6:$B$15,""),"")</f>
        <v/>
      </c>
      <c r="J1682">
        <f>IF(A1682="","",TEXT(A1682,"mmm-yyyy"))</f>
        <v/>
      </c>
    </row>
    <row r="1683">
      <c r="D1683">
        <f>IFERROR(XLOOKUP(C1683,'Vendor Master'!$A$6:$A$15,'Vendor Master'!$B$6:$B$15,""),"")</f>
        <v/>
      </c>
      <c r="J1683">
        <f>IF(A1683="","",TEXT(A1683,"mmm-yyyy"))</f>
        <v/>
      </c>
    </row>
    <row r="1684">
      <c r="D1684">
        <f>IFERROR(XLOOKUP(C1684,'Vendor Master'!$A$6:$A$15,'Vendor Master'!$B$6:$B$15,""),"")</f>
        <v/>
      </c>
      <c r="J1684">
        <f>IF(A1684="","",TEXT(A1684,"mmm-yyyy"))</f>
        <v/>
      </c>
    </row>
    <row r="1685">
      <c r="D1685">
        <f>IFERROR(XLOOKUP(C1685,'Vendor Master'!$A$6:$A$15,'Vendor Master'!$B$6:$B$15,""),"")</f>
        <v/>
      </c>
      <c r="J1685">
        <f>IF(A1685="","",TEXT(A1685,"mmm-yyyy"))</f>
        <v/>
      </c>
    </row>
    <row r="1686">
      <c r="D1686">
        <f>IFERROR(XLOOKUP(C1686,'Vendor Master'!$A$6:$A$15,'Vendor Master'!$B$6:$B$15,""),"")</f>
        <v/>
      </c>
      <c r="J1686">
        <f>IF(A1686="","",TEXT(A1686,"mmm-yyyy"))</f>
        <v/>
      </c>
    </row>
    <row r="1687">
      <c r="D1687">
        <f>IFERROR(XLOOKUP(C1687,'Vendor Master'!$A$6:$A$15,'Vendor Master'!$B$6:$B$15,""),"")</f>
        <v/>
      </c>
      <c r="J1687">
        <f>IF(A1687="","",TEXT(A1687,"mmm-yyyy"))</f>
        <v/>
      </c>
    </row>
    <row r="1688">
      <c r="D1688">
        <f>IFERROR(XLOOKUP(C1688,'Vendor Master'!$A$6:$A$15,'Vendor Master'!$B$6:$B$15,""),"")</f>
        <v/>
      </c>
      <c r="J1688">
        <f>IF(A1688="","",TEXT(A1688,"mmm-yyyy"))</f>
        <v/>
      </c>
    </row>
    <row r="1689">
      <c r="D1689">
        <f>IFERROR(XLOOKUP(C1689,'Vendor Master'!$A$6:$A$15,'Vendor Master'!$B$6:$B$15,""),"")</f>
        <v/>
      </c>
      <c r="J1689">
        <f>IF(A1689="","",TEXT(A1689,"mmm-yyyy"))</f>
        <v/>
      </c>
    </row>
    <row r="1690">
      <c r="D1690">
        <f>IFERROR(XLOOKUP(C1690,'Vendor Master'!$A$6:$A$15,'Vendor Master'!$B$6:$B$15,""),"")</f>
        <v/>
      </c>
      <c r="J1690">
        <f>IF(A1690="","",TEXT(A1690,"mmm-yyyy"))</f>
        <v/>
      </c>
    </row>
    <row r="1691">
      <c r="D1691">
        <f>IFERROR(XLOOKUP(C1691,'Vendor Master'!$A$6:$A$15,'Vendor Master'!$B$6:$B$15,""),"")</f>
        <v/>
      </c>
      <c r="J1691">
        <f>IF(A1691="","",TEXT(A1691,"mmm-yyyy"))</f>
        <v/>
      </c>
    </row>
    <row r="1692">
      <c r="D1692">
        <f>IFERROR(XLOOKUP(C1692,'Vendor Master'!$A$6:$A$15,'Vendor Master'!$B$6:$B$15,""),"")</f>
        <v/>
      </c>
      <c r="J1692">
        <f>IF(A1692="","",TEXT(A1692,"mmm-yyyy"))</f>
        <v/>
      </c>
    </row>
    <row r="1693">
      <c r="D1693">
        <f>IFERROR(XLOOKUP(C1693,'Vendor Master'!$A$6:$A$15,'Vendor Master'!$B$6:$B$15,""),"")</f>
        <v/>
      </c>
      <c r="J1693">
        <f>IF(A1693="","",TEXT(A1693,"mmm-yyyy"))</f>
        <v/>
      </c>
    </row>
    <row r="1694">
      <c r="D1694">
        <f>IFERROR(XLOOKUP(C1694,'Vendor Master'!$A$6:$A$15,'Vendor Master'!$B$6:$B$15,""),"")</f>
        <v/>
      </c>
      <c r="J1694">
        <f>IF(A1694="","",TEXT(A1694,"mmm-yyyy"))</f>
        <v/>
      </c>
    </row>
    <row r="1695">
      <c r="D1695">
        <f>IFERROR(XLOOKUP(C1695,'Vendor Master'!$A$6:$A$15,'Vendor Master'!$B$6:$B$15,""),"")</f>
        <v/>
      </c>
      <c r="J1695">
        <f>IF(A1695="","",TEXT(A1695,"mmm-yyyy"))</f>
        <v/>
      </c>
    </row>
    <row r="1696">
      <c r="D1696">
        <f>IFERROR(XLOOKUP(C1696,'Vendor Master'!$A$6:$A$15,'Vendor Master'!$B$6:$B$15,""),"")</f>
        <v/>
      </c>
      <c r="J1696">
        <f>IF(A1696="","",TEXT(A1696,"mmm-yyyy"))</f>
        <v/>
      </c>
    </row>
    <row r="1697">
      <c r="D1697">
        <f>IFERROR(XLOOKUP(C1697,'Vendor Master'!$A$6:$A$15,'Vendor Master'!$B$6:$B$15,""),"")</f>
        <v/>
      </c>
      <c r="J1697">
        <f>IF(A1697="","",TEXT(A1697,"mmm-yyyy"))</f>
        <v/>
      </c>
    </row>
    <row r="1698">
      <c r="D1698">
        <f>IFERROR(XLOOKUP(C1698,'Vendor Master'!$A$6:$A$15,'Vendor Master'!$B$6:$B$15,""),"")</f>
        <v/>
      </c>
      <c r="J1698">
        <f>IF(A1698="","",TEXT(A1698,"mmm-yyyy"))</f>
        <v/>
      </c>
    </row>
    <row r="1699">
      <c r="D1699">
        <f>IFERROR(XLOOKUP(C1699,'Vendor Master'!$A$6:$A$15,'Vendor Master'!$B$6:$B$15,""),"")</f>
        <v/>
      </c>
      <c r="J1699">
        <f>IF(A1699="","",TEXT(A1699,"mmm-yyyy"))</f>
        <v/>
      </c>
    </row>
    <row r="1700">
      <c r="D1700">
        <f>IFERROR(XLOOKUP(C1700,'Vendor Master'!$A$6:$A$15,'Vendor Master'!$B$6:$B$15,""),"")</f>
        <v/>
      </c>
      <c r="J1700">
        <f>IF(A1700="","",TEXT(A1700,"mmm-yyyy"))</f>
        <v/>
      </c>
    </row>
    <row r="1701">
      <c r="D1701">
        <f>IFERROR(XLOOKUP(C1701,'Vendor Master'!$A$6:$A$15,'Vendor Master'!$B$6:$B$15,""),"")</f>
        <v/>
      </c>
      <c r="J1701">
        <f>IF(A1701="","",TEXT(A1701,"mmm-yyyy"))</f>
        <v/>
      </c>
    </row>
    <row r="1702">
      <c r="D1702">
        <f>IFERROR(XLOOKUP(C1702,'Vendor Master'!$A$6:$A$15,'Vendor Master'!$B$6:$B$15,""),"")</f>
        <v/>
      </c>
      <c r="J1702">
        <f>IF(A1702="","",TEXT(A1702,"mmm-yyyy"))</f>
        <v/>
      </c>
    </row>
    <row r="1703">
      <c r="D1703">
        <f>IFERROR(XLOOKUP(C1703,'Vendor Master'!$A$6:$A$15,'Vendor Master'!$B$6:$B$15,""),"")</f>
        <v/>
      </c>
      <c r="J1703">
        <f>IF(A1703="","",TEXT(A1703,"mmm-yyyy"))</f>
        <v/>
      </c>
    </row>
    <row r="1704">
      <c r="D1704">
        <f>IFERROR(XLOOKUP(C1704,'Vendor Master'!$A$6:$A$15,'Vendor Master'!$B$6:$B$15,""),"")</f>
        <v/>
      </c>
      <c r="J1704">
        <f>IF(A1704="","",TEXT(A1704,"mmm-yyyy"))</f>
        <v/>
      </c>
    </row>
    <row r="1705">
      <c r="D1705">
        <f>IFERROR(XLOOKUP(C1705,'Vendor Master'!$A$6:$A$15,'Vendor Master'!$B$6:$B$15,""),"")</f>
        <v/>
      </c>
      <c r="J1705">
        <f>IF(A1705="","",TEXT(A1705,"mmm-yyyy"))</f>
        <v/>
      </c>
    </row>
    <row r="1706">
      <c r="D1706">
        <f>IFERROR(XLOOKUP(C1706,'Vendor Master'!$A$6:$A$15,'Vendor Master'!$B$6:$B$15,""),"")</f>
        <v/>
      </c>
      <c r="J1706">
        <f>IF(A1706="","",TEXT(A1706,"mmm-yyyy"))</f>
        <v/>
      </c>
    </row>
    <row r="1707">
      <c r="D1707">
        <f>IFERROR(XLOOKUP(C1707,'Vendor Master'!$A$6:$A$15,'Vendor Master'!$B$6:$B$15,""),"")</f>
        <v/>
      </c>
      <c r="J1707">
        <f>IF(A1707="","",TEXT(A1707,"mmm-yyyy"))</f>
        <v/>
      </c>
    </row>
    <row r="1708">
      <c r="D1708">
        <f>IFERROR(XLOOKUP(C1708,'Vendor Master'!$A$6:$A$15,'Vendor Master'!$B$6:$B$15,""),"")</f>
        <v/>
      </c>
      <c r="J1708">
        <f>IF(A1708="","",TEXT(A1708,"mmm-yyyy"))</f>
        <v/>
      </c>
    </row>
    <row r="1709">
      <c r="D1709">
        <f>IFERROR(XLOOKUP(C1709,'Vendor Master'!$A$6:$A$15,'Vendor Master'!$B$6:$B$15,""),"")</f>
        <v/>
      </c>
      <c r="J1709">
        <f>IF(A1709="","",TEXT(A1709,"mmm-yyyy"))</f>
        <v/>
      </c>
    </row>
    <row r="1710">
      <c r="D1710">
        <f>IFERROR(XLOOKUP(C1710,'Vendor Master'!$A$6:$A$15,'Vendor Master'!$B$6:$B$15,""),"")</f>
        <v/>
      </c>
      <c r="J1710">
        <f>IF(A1710="","",TEXT(A1710,"mmm-yyyy"))</f>
        <v/>
      </c>
    </row>
    <row r="1711">
      <c r="D1711">
        <f>IFERROR(XLOOKUP(C1711,'Vendor Master'!$A$6:$A$15,'Vendor Master'!$B$6:$B$15,""),"")</f>
        <v/>
      </c>
      <c r="J1711">
        <f>IF(A1711="","",TEXT(A1711,"mmm-yyyy"))</f>
        <v/>
      </c>
    </row>
    <row r="1712">
      <c r="D1712">
        <f>IFERROR(XLOOKUP(C1712,'Vendor Master'!$A$6:$A$15,'Vendor Master'!$B$6:$B$15,""),"")</f>
        <v/>
      </c>
      <c r="J1712">
        <f>IF(A1712="","",TEXT(A1712,"mmm-yyyy"))</f>
        <v/>
      </c>
    </row>
    <row r="1713">
      <c r="D1713">
        <f>IFERROR(XLOOKUP(C1713,'Vendor Master'!$A$6:$A$15,'Vendor Master'!$B$6:$B$15,""),"")</f>
        <v/>
      </c>
      <c r="J1713">
        <f>IF(A1713="","",TEXT(A1713,"mmm-yyyy"))</f>
        <v/>
      </c>
    </row>
    <row r="1714">
      <c r="D1714">
        <f>IFERROR(XLOOKUP(C1714,'Vendor Master'!$A$6:$A$15,'Vendor Master'!$B$6:$B$15,""),"")</f>
        <v/>
      </c>
      <c r="J1714">
        <f>IF(A1714="","",TEXT(A1714,"mmm-yyyy"))</f>
        <v/>
      </c>
    </row>
    <row r="1715">
      <c r="D1715">
        <f>IFERROR(XLOOKUP(C1715,'Vendor Master'!$A$6:$A$15,'Vendor Master'!$B$6:$B$15,""),"")</f>
        <v/>
      </c>
      <c r="J1715">
        <f>IF(A1715="","",TEXT(A1715,"mmm-yyyy"))</f>
        <v/>
      </c>
    </row>
    <row r="1716">
      <c r="D1716">
        <f>IFERROR(XLOOKUP(C1716,'Vendor Master'!$A$6:$A$15,'Vendor Master'!$B$6:$B$15,""),"")</f>
        <v/>
      </c>
      <c r="J1716">
        <f>IF(A1716="","",TEXT(A1716,"mmm-yyyy"))</f>
        <v/>
      </c>
    </row>
    <row r="1717">
      <c r="D1717">
        <f>IFERROR(XLOOKUP(C1717,'Vendor Master'!$A$6:$A$15,'Vendor Master'!$B$6:$B$15,""),"")</f>
        <v/>
      </c>
      <c r="J1717">
        <f>IF(A1717="","",TEXT(A1717,"mmm-yyyy"))</f>
        <v/>
      </c>
    </row>
    <row r="1718">
      <c r="D1718">
        <f>IFERROR(XLOOKUP(C1718,'Vendor Master'!$A$6:$A$15,'Vendor Master'!$B$6:$B$15,""),"")</f>
        <v/>
      </c>
      <c r="J1718">
        <f>IF(A1718="","",TEXT(A1718,"mmm-yyyy"))</f>
        <v/>
      </c>
    </row>
    <row r="1719">
      <c r="D1719">
        <f>IFERROR(XLOOKUP(C1719,'Vendor Master'!$A$6:$A$15,'Vendor Master'!$B$6:$B$15,""),"")</f>
        <v/>
      </c>
      <c r="J1719">
        <f>IF(A1719="","",TEXT(A1719,"mmm-yyyy"))</f>
        <v/>
      </c>
    </row>
    <row r="1720">
      <c r="D1720">
        <f>IFERROR(XLOOKUP(C1720,'Vendor Master'!$A$6:$A$15,'Vendor Master'!$B$6:$B$15,""),"")</f>
        <v/>
      </c>
      <c r="J1720">
        <f>IF(A1720="","",TEXT(A1720,"mmm-yyyy"))</f>
        <v/>
      </c>
    </row>
    <row r="1721">
      <c r="D1721">
        <f>IFERROR(XLOOKUP(C1721,'Vendor Master'!$A$6:$A$15,'Vendor Master'!$B$6:$B$15,""),"")</f>
        <v/>
      </c>
      <c r="J1721">
        <f>IF(A1721="","",TEXT(A1721,"mmm-yyyy"))</f>
        <v/>
      </c>
    </row>
    <row r="1722">
      <c r="D1722">
        <f>IFERROR(XLOOKUP(C1722,'Vendor Master'!$A$6:$A$15,'Vendor Master'!$B$6:$B$15,""),"")</f>
        <v/>
      </c>
      <c r="J1722">
        <f>IF(A1722="","",TEXT(A1722,"mmm-yyyy"))</f>
        <v/>
      </c>
    </row>
    <row r="1723">
      <c r="D1723">
        <f>IFERROR(XLOOKUP(C1723,'Vendor Master'!$A$6:$A$15,'Vendor Master'!$B$6:$B$15,""),"")</f>
        <v/>
      </c>
      <c r="J1723">
        <f>IF(A1723="","",TEXT(A1723,"mmm-yyyy"))</f>
        <v/>
      </c>
    </row>
    <row r="1724">
      <c r="D1724">
        <f>IFERROR(XLOOKUP(C1724,'Vendor Master'!$A$6:$A$15,'Vendor Master'!$B$6:$B$15,""),"")</f>
        <v/>
      </c>
      <c r="J1724">
        <f>IF(A1724="","",TEXT(A1724,"mmm-yyyy"))</f>
        <v/>
      </c>
    </row>
    <row r="1725">
      <c r="D1725">
        <f>IFERROR(XLOOKUP(C1725,'Vendor Master'!$A$6:$A$15,'Vendor Master'!$B$6:$B$15,""),"")</f>
        <v/>
      </c>
      <c r="J1725">
        <f>IF(A1725="","",TEXT(A1725,"mmm-yyyy"))</f>
        <v/>
      </c>
    </row>
    <row r="1726">
      <c r="D1726">
        <f>IFERROR(XLOOKUP(C1726,'Vendor Master'!$A$6:$A$15,'Vendor Master'!$B$6:$B$15,""),"")</f>
        <v/>
      </c>
      <c r="J1726">
        <f>IF(A1726="","",TEXT(A1726,"mmm-yyyy"))</f>
        <v/>
      </c>
    </row>
    <row r="1727">
      <c r="D1727">
        <f>IFERROR(XLOOKUP(C1727,'Vendor Master'!$A$6:$A$15,'Vendor Master'!$B$6:$B$15,""),"")</f>
        <v/>
      </c>
      <c r="J1727">
        <f>IF(A1727="","",TEXT(A1727,"mmm-yyyy"))</f>
        <v/>
      </c>
    </row>
    <row r="1728">
      <c r="D1728">
        <f>IFERROR(XLOOKUP(C1728,'Vendor Master'!$A$6:$A$15,'Vendor Master'!$B$6:$B$15,""),"")</f>
        <v/>
      </c>
      <c r="J1728">
        <f>IF(A1728="","",TEXT(A1728,"mmm-yyyy"))</f>
        <v/>
      </c>
    </row>
    <row r="1729">
      <c r="D1729">
        <f>IFERROR(XLOOKUP(C1729,'Vendor Master'!$A$6:$A$15,'Vendor Master'!$B$6:$B$15,""),"")</f>
        <v/>
      </c>
      <c r="J1729">
        <f>IF(A1729="","",TEXT(A1729,"mmm-yyyy"))</f>
        <v/>
      </c>
    </row>
    <row r="1730">
      <c r="D1730">
        <f>IFERROR(XLOOKUP(C1730,'Vendor Master'!$A$6:$A$15,'Vendor Master'!$B$6:$B$15,""),"")</f>
        <v/>
      </c>
      <c r="J1730">
        <f>IF(A1730="","",TEXT(A1730,"mmm-yyyy"))</f>
        <v/>
      </c>
    </row>
    <row r="1731">
      <c r="D1731">
        <f>IFERROR(XLOOKUP(C1731,'Vendor Master'!$A$6:$A$15,'Vendor Master'!$B$6:$B$15,""),"")</f>
        <v/>
      </c>
      <c r="J1731">
        <f>IF(A1731="","",TEXT(A1731,"mmm-yyyy"))</f>
        <v/>
      </c>
    </row>
    <row r="1732">
      <c r="D1732">
        <f>IFERROR(XLOOKUP(C1732,'Vendor Master'!$A$6:$A$15,'Vendor Master'!$B$6:$B$15,""),"")</f>
        <v/>
      </c>
      <c r="J1732">
        <f>IF(A1732="","",TEXT(A1732,"mmm-yyyy"))</f>
        <v/>
      </c>
    </row>
    <row r="1733">
      <c r="D1733">
        <f>IFERROR(XLOOKUP(C1733,'Vendor Master'!$A$6:$A$15,'Vendor Master'!$B$6:$B$15,""),"")</f>
        <v/>
      </c>
      <c r="J1733">
        <f>IF(A1733="","",TEXT(A1733,"mmm-yyyy"))</f>
        <v/>
      </c>
    </row>
    <row r="1734">
      <c r="D1734">
        <f>IFERROR(XLOOKUP(C1734,'Vendor Master'!$A$6:$A$15,'Vendor Master'!$B$6:$B$15,""),"")</f>
        <v/>
      </c>
      <c r="J1734">
        <f>IF(A1734="","",TEXT(A1734,"mmm-yyyy"))</f>
        <v/>
      </c>
    </row>
    <row r="1735">
      <c r="D1735">
        <f>IFERROR(XLOOKUP(C1735,'Vendor Master'!$A$6:$A$15,'Vendor Master'!$B$6:$B$15,""),"")</f>
        <v/>
      </c>
      <c r="J1735">
        <f>IF(A1735="","",TEXT(A1735,"mmm-yyyy"))</f>
        <v/>
      </c>
    </row>
    <row r="1736">
      <c r="D1736">
        <f>IFERROR(XLOOKUP(C1736,'Vendor Master'!$A$6:$A$15,'Vendor Master'!$B$6:$B$15,""),"")</f>
        <v/>
      </c>
      <c r="J1736">
        <f>IF(A1736="","",TEXT(A1736,"mmm-yyyy"))</f>
        <v/>
      </c>
    </row>
    <row r="1737">
      <c r="D1737">
        <f>IFERROR(XLOOKUP(C1737,'Vendor Master'!$A$6:$A$15,'Vendor Master'!$B$6:$B$15,""),"")</f>
        <v/>
      </c>
      <c r="J1737">
        <f>IF(A1737="","",TEXT(A1737,"mmm-yyyy"))</f>
        <v/>
      </c>
    </row>
    <row r="1738">
      <c r="D1738">
        <f>IFERROR(XLOOKUP(C1738,'Vendor Master'!$A$6:$A$15,'Vendor Master'!$B$6:$B$15,""),"")</f>
        <v/>
      </c>
      <c r="J1738">
        <f>IF(A1738="","",TEXT(A1738,"mmm-yyyy"))</f>
        <v/>
      </c>
    </row>
    <row r="1739">
      <c r="D1739">
        <f>IFERROR(XLOOKUP(C1739,'Vendor Master'!$A$6:$A$15,'Vendor Master'!$B$6:$B$15,""),"")</f>
        <v/>
      </c>
      <c r="J1739">
        <f>IF(A1739="","",TEXT(A1739,"mmm-yyyy"))</f>
        <v/>
      </c>
    </row>
    <row r="1740">
      <c r="D1740">
        <f>IFERROR(XLOOKUP(C1740,'Vendor Master'!$A$6:$A$15,'Vendor Master'!$B$6:$B$15,""),"")</f>
        <v/>
      </c>
      <c r="J1740">
        <f>IF(A1740="","",TEXT(A1740,"mmm-yyyy"))</f>
        <v/>
      </c>
    </row>
    <row r="1741">
      <c r="D1741">
        <f>IFERROR(XLOOKUP(C1741,'Vendor Master'!$A$6:$A$15,'Vendor Master'!$B$6:$B$15,""),"")</f>
        <v/>
      </c>
      <c r="J1741">
        <f>IF(A1741="","",TEXT(A1741,"mmm-yyyy"))</f>
        <v/>
      </c>
    </row>
    <row r="1742">
      <c r="D1742">
        <f>IFERROR(XLOOKUP(C1742,'Vendor Master'!$A$6:$A$15,'Vendor Master'!$B$6:$B$15,""),"")</f>
        <v/>
      </c>
      <c r="J1742">
        <f>IF(A1742="","",TEXT(A1742,"mmm-yyyy"))</f>
        <v/>
      </c>
    </row>
    <row r="1743">
      <c r="D1743">
        <f>IFERROR(XLOOKUP(C1743,'Vendor Master'!$A$6:$A$15,'Vendor Master'!$B$6:$B$15,""),"")</f>
        <v/>
      </c>
      <c r="J1743">
        <f>IF(A1743="","",TEXT(A1743,"mmm-yyyy"))</f>
        <v/>
      </c>
    </row>
    <row r="1744">
      <c r="D1744">
        <f>IFERROR(XLOOKUP(C1744,'Vendor Master'!$A$6:$A$15,'Vendor Master'!$B$6:$B$15,""),"")</f>
        <v/>
      </c>
      <c r="J1744">
        <f>IF(A1744="","",TEXT(A1744,"mmm-yyyy"))</f>
        <v/>
      </c>
    </row>
    <row r="1745">
      <c r="D1745">
        <f>IFERROR(XLOOKUP(C1745,'Vendor Master'!$A$6:$A$15,'Vendor Master'!$B$6:$B$15,""),"")</f>
        <v/>
      </c>
      <c r="J1745">
        <f>IF(A1745="","",TEXT(A1745,"mmm-yyyy"))</f>
        <v/>
      </c>
    </row>
    <row r="1746">
      <c r="D1746">
        <f>IFERROR(XLOOKUP(C1746,'Vendor Master'!$A$6:$A$15,'Vendor Master'!$B$6:$B$15,""),"")</f>
        <v/>
      </c>
      <c r="J1746">
        <f>IF(A1746="","",TEXT(A1746,"mmm-yyyy"))</f>
        <v/>
      </c>
    </row>
    <row r="1747">
      <c r="D1747">
        <f>IFERROR(XLOOKUP(C1747,'Vendor Master'!$A$6:$A$15,'Vendor Master'!$B$6:$B$15,""),"")</f>
        <v/>
      </c>
      <c r="J1747">
        <f>IF(A1747="","",TEXT(A1747,"mmm-yyyy"))</f>
        <v/>
      </c>
    </row>
    <row r="1748">
      <c r="D1748">
        <f>IFERROR(XLOOKUP(C1748,'Vendor Master'!$A$6:$A$15,'Vendor Master'!$B$6:$B$15,""),"")</f>
        <v/>
      </c>
      <c r="J1748">
        <f>IF(A1748="","",TEXT(A1748,"mmm-yyyy"))</f>
        <v/>
      </c>
    </row>
    <row r="1749">
      <c r="D1749">
        <f>IFERROR(XLOOKUP(C1749,'Vendor Master'!$A$6:$A$15,'Vendor Master'!$B$6:$B$15,""),"")</f>
        <v/>
      </c>
      <c r="J1749">
        <f>IF(A1749="","",TEXT(A1749,"mmm-yyyy"))</f>
        <v/>
      </c>
    </row>
    <row r="1750">
      <c r="D1750">
        <f>IFERROR(XLOOKUP(C1750,'Vendor Master'!$A$6:$A$15,'Vendor Master'!$B$6:$B$15,""),"")</f>
        <v/>
      </c>
      <c r="J1750">
        <f>IF(A1750="","",TEXT(A1750,"mmm-yyyy"))</f>
        <v/>
      </c>
    </row>
    <row r="1751">
      <c r="D1751">
        <f>IFERROR(XLOOKUP(C1751,'Vendor Master'!$A$6:$A$15,'Vendor Master'!$B$6:$B$15,""),"")</f>
        <v/>
      </c>
      <c r="J1751">
        <f>IF(A1751="","",TEXT(A1751,"mmm-yyyy"))</f>
        <v/>
      </c>
    </row>
    <row r="1752">
      <c r="D1752">
        <f>IFERROR(XLOOKUP(C1752,'Vendor Master'!$A$6:$A$15,'Vendor Master'!$B$6:$B$15,""),"")</f>
        <v/>
      </c>
      <c r="J1752">
        <f>IF(A1752="","",TEXT(A1752,"mmm-yyyy"))</f>
        <v/>
      </c>
    </row>
    <row r="1753">
      <c r="D1753">
        <f>IFERROR(XLOOKUP(C1753,'Vendor Master'!$A$6:$A$15,'Vendor Master'!$B$6:$B$15,""),"")</f>
        <v/>
      </c>
      <c r="J1753">
        <f>IF(A1753="","",TEXT(A1753,"mmm-yyyy"))</f>
        <v/>
      </c>
    </row>
    <row r="1754">
      <c r="D1754">
        <f>IFERROR(XLOOKUP(C1754,'Vendor Master'!$A$6:$A$15,'Vendor Master'!$B$6:$B$15,""),"")</f>
        <v/>
      </c>
      <c r="J1754">
        <f>IF(A1754="","",TEXT(A1754,"mmm-yyyy"))</f>
        <v/>
      </c>
    </row>
    <row r="1755">
      <c r="D1755">
        <f>IFERROR(XLOOKUP(C1755,'Vendor Master'!$A$6:$A$15,'Vendor Master'!$B$6:$B$15,""),"")</f>
        <v/>
      </c>
      <c r="J1755">
        <f>IF(A1755="","",TEXT(A1755,"mmm-yyyy"))</f>
        <v/>
      </c>
    </row>
    <row r="1756">
      <c r="D1756">
        <f>IFERROR(XLOOKUP(C1756,'Vendor Master'!$A$6:$A$15,'Vendor Master'!$B$6:$B$15,""),"")</f>
        <v/>
      </c>
      <c r="J1756">
        <f>IF(A1756="","",TEXT(A1756,"mmm-yyyy"))</f>
        <v/>
      </c>
    </row>
    <row r="1757">
      <c r="D1757">
        <f>IFERROR(XLOOKUP(C1757,'Vendor Master'!$A$6:$A$15,'Vendor Master'!$B$6:$B$15,""),"")</f>
        <v/>
      </c>
      <c r="J1757">
        <f>IF(A1757="","",TEXT(A1757,"mmm-yyyy"))</f>
        <v/>
      </c>
    </row>
    <row r="1758">
      <c r="D1758">
        <f>IFERROR(XLOOKUP(C1758,'Vendor Master'!$A$6:$A$15,'Vendor Master'!$B$6:$B$15,""),"")</f>
        <v/>
      </c>
      <c r="J1758">
        <f>IF(A1758="","",TEXT(A1758,"mmm-yyyy"))</f>
        <v/>
      </c>
    </row>
    <row r="1759">
      <c r="D1759">
        <f>IFERROR(XLOOKUP(C1759,'Vendor Master'!$A$6:$A$15,'Vendor Master'!$B$6:$B$15,""),"")</f>
        <v/>
      </c>
      <c r="J1759">
        <f>IF(A1759="","",TEXT(A1759,"mmm-yyyy"))</f>
        <v/>
      </c>
    </row>
    <row r="1760">
      <c r="D1760">
        <f>IFERROR(XLOOKUP(C1760,'Vendor Master'!$A$6:$A$15,'Vendor Master'!$B$6:$B$15,""),"")</f>
        <v/>
      </c>
      <c r="J1760">
        <f>IF(A1760="","",TEXT(A1760,"mmm-yyyy"))</f>
        <v/>
      </c>
    </row>
    <row r="1761">
      <c r="D1761">
        <f>IFERROR(XLOOKUP(C1761,'Vendor Master'!$A$6:$A$15,'Vendor Master'!$B$6:$B$15,""),"")</f>
        <v/>
      </c>
      <c r="J1761">
        <f>IF(A1761="","",TEXT(A1761,"mmm-yyyy"))</f>
        <v/>
      </c>
    </row>
    <row r="1762">
      <c r="D1762">
        <f>IFERROR(XLOOKUP(C1762,'Vendor Master'!$A$6:$A$15,'Vendor Master'!$B$6:$B$15,""),"")</f>
        <v/>
      </c>
      <c r="J1762">
        <f>IF(A1762="","",TEXT(A1762,"mmm-yyyy"))</f>
        <v/>
      </c>
    </row>
    <row r="1763">
      <c r="D1763">
        <f>IFERROR(XLOOKUP(C1763,'Vendor Master'!$A$6:$A$15,'Vendor Master'!$B$6:$B$15,""),"")</f>
        <v/>
      </c>
      <c r="J1763">
        <f>IF(A1763="","",TEXT(A1763,"mmm-yyyy"))</f>
        <v/>
      </c>
    </row>
    <row r="1764">
      <c r="D1764">
        <f>IFERROR(XLOOKUP(C1764,'Vendor Master'!$A$6:$A$15,'Vendor Master'!$B$6:$B$15,""),"")</f>
        <v/>
      </c>
      <c r="J1764">
        <f>IF(A1764="","",TEXT(A1764,"mmm-yyyy"))</f>
        <v/>
      </c>
    </row>
    <row r="1765">
      <c r="D1765">
        <f>IFERROR(XLOOKUP(C1765,'Vendor Master'!$A$6:$A$15,'Vendor Master'!$B$6:$B$15,""),"")</f>
        <v/>
      </c>
      <c r="J1765">
        <f>IF(A1765="","",TEXT(A1765,"mmm-yyyy"))</f>
        <v/>
      </c>
    </row>
    <row r="1766">
      <c r="D1766">
        <f>IFERROR(XLOOKUP(C1766,'Vendor Master'!$A$6:$A$15,'Vendor Master'!$B$6:$B$15,""),"")</f>
        <v/>
      </c>
      <c r="J1766">
        <f>IF(A1766="","",TEXT(A1766,"mmm-yyyy"))</f>
        <v/>
      </c>
    </row>
    <row r="1767">
      <c r="D1767">
        <f>IFERROR(XLOOKUP(C1767,'Vendor Master'!$A$6:$A$15,'Vendor Master'!$B$6:$B$15,""),"")</f>
        <v/>
      </c>
      <c r="J1767">
        <f>IF(A1767="","",TEXT(A1767,"mmm-yyyy"))</f>
        <v/>
      </c>
    </row>
    <row r="1768">
      <c r="D1768">
        <f>IFERROR(XLOOKUP(C1768,'Vendor Master'!$A$6:$A$15,'Vendor Master'!$B$6:$B$15,""),"")</f>
        <v/>
      </c>
      <c r="J1768">
        <f>IF(A1768="","",TEXT(A1768,"mmm-yyyy"))</f>
        <v/>
      </c>
    </row>
    <row r="1769">
      <c r="D1769">
        <f>IFERROR(XLOOKUP(C1769,'Vendor Master'!$A$6:$A$15,'Vendor Master'!$B$6:$B$15,""),"")</f>
        <v/>
      </c>
      <c r="J1769">
        <f>IF(A1769="","",TEXT(A1769,"mmm-yyyy"))</f>
        <v/>
      </c>
    </row>
    <row r="1770">
      <c r="D1770">
        <f>IFERROR(XLOOKUP(C1770,'Vendor Master'!$A$6:$A$15,'Vendor Master'!$B$6:$B$15,""),"")</f>
        <v/>
      </c>
      <c r="J1770">
        <f>IF(A1770="","",TEXT(A1770,"mmm-yyyy"))</f>
        <v/>
      </c>
    </row>
    <row r="1771">
      <c r="D1771">
        <f>IFERROR(XLOOKUP(C1771,'Vendor Master'!$A$6:$A$15,'Vendor Master'!$B$6:$B$15,""),"")</f>
        <v/>
      </c>
      <c r="J1771">
        <f>IF(A1771="","",TEXT(A1771,"mmm-yyyy"))</f>
        <v/>
      </c>
    </row>
    <row r="1772">
      <c r="D1772">
        <f>IFERROR(XLOOKUP(C1772,'Vendor Master'!$A$6:$A$15,'Vendor Master'!$B$6:$B$15,""),"")</f>
        <v/>
      </c>
      <c r="J1772">
        <f>IF(A1772="","",TEXT(A1772,"mmm-yyyy"))</f>
        <v/>
      </c>
    </row>
    <row r="1773">
      <c r="D1773">
        <f>IFERROR(XLOOKUP(C1773,'Vendor Master'!$A$6:$A$15,'Vendor Master'!$B$6:$B$15,""),"")</f>
        <v/>
      </c>
      <c r="J1773">
        <f>IF(A1773="","",TEXT(A1773,"mmm-yyyy"))</f>
        <v/>
      </c>
    </row>
    <row r="1774">
      <c r="D1774">
        <f>IFERROR(XLOOKUP(C1774,'Vendor Master'!$A$6:$A$15,'Vendor Master'!$B$6:$B$15,""),"")</f>
        <v/>
      </c>
      <c r="J1774">
        <f>IF(A1774="","",TEXT(A1774,"mmm-yyyy"))</f>
        <v/>
      </c>
    </row>
    <row r="1775">
      <c r="D1775">
        <f>IFERROR(XLOOKUP(C1775,'Vendor Master'!$A$6:$A$15,'Vendor Master'!$B$6:$B$15,""),"")</f>
        <v/>
      </c>
      <c r="J1775">
        <f>IF(A1775="","",TEXT(A1775,"mmm-yyyy"))</f>
        <v/>
      </c>
    </row>
    <row r="1776">
      <c r="D1776">
        <f>IFERROR(XLOOKUP(C1776,'Vendor Master'!$A$6:$A$15,'Vendor Master'!$B$6:$B$15,""),"")</f>
        <v/>
      </c>
      <c r="J1776">
        <f>IF(A1776="","",TEXT(A1776,"mmm-yyyy"))</f>
        <v/>
      </c>
    </row>
    <row r="1777">
      <c r="D1777">
        <f>IFERROR(XLOOKUP(C1777,'Vendor Master'!$A$6:$A$15,'Vendor Master'!$B$6:$B$15,""),"")</f>
        <v/>
      </c>
      <c r="J1777">
        <f>IF(A1777="","",TEXT(A1777,"mmm-yyyy"))</f>
        <v/>
      </c>
    </row>
    <row r="1778">
      <c r="D1778">
        <f>IFERROR(XLOOKUP(C1778,'Vendor Master'!$A$6:$A$15,'Vendor Master'!$B$6:$B$15,""),"")</f>
        <v/>
      </c>
      <c r="J1778">
        <f>IF(A1778="","",TEXT(A1778,"mmm-yyyy"))</f>
        <v/>
      </c>
    </row>
    <row r="1779">
      <c r="D1779">
        <f>IFERROR(XLOOKUP(C1779,'Vendor Master'!$A$6:$A$15,'Vendor Master'!$B$6:$B$15,""),"")</f>
        <v/>
      </c>
      <c r="J1779">
        <f>IF(A1779="","",TEXT(A1779,"mmm-yyyy"))</f>
        <v/>
      </c>
    </row>
    <row r="1780">
      <c r="D1780">
        <f>IFERROR(XLOOKUP(C1780,'Vendor Master'!$A$6:$A$15,'Vendor Master'!$B$6:$B$15,""),"")</f>
        <v/>
      </c>
      <c r="J1780">
        <f>IF(A1780="","",TEXT(A1780,"mmm-yyyy"))</f>
        <v/>
      </c>
    </row>
    <row r="1781">
      <c r="D1781">
        <f>IFERROR(XLOOKUP(C1781,'Vendor Master'!$A$6:$A$15,'Vendor Master'!$B$6:$B$15,""),"")</f>
        <v/>
      </c>
      <c r="J1781">
        <f>IF(A1781="","",TEXT(A1781,"mmm-yyyy"))</f>
        <v/>
      </c>
    </row>
    <row r="1782">
      <c r="D1782">
        <f>IFERROR(XLOOKUP(C1782,'Vendor Master'!$A$6:$A$15,'Vendor Master'!$B$6:$B$15,""),"")</f>
        <v/>
      </c>
      <c r="J1782">
        <f>IF(A1782="","",TEXT(A1782,"mmm-yyyy"))</f>
        <v/>
      </c>
    </row>
    <row r="1783">
      <c r="D1783">
        <f>IFERROR(XLOOKUP(C1783,'Vendor Master'!$A$6:$A$15,'Vendor Master'!$B$6:$B$15,""),"")</f>
        <v/>
      </c>
      <c r="J1783">
        <f>IF(A1783="","",TEXT(A1783,"mmm-yyyy"))</f>
        <v/>
      </c>
    </row>
    <row r="1784">
      <c r="D1784">
        <f>IFERROR(XLOOKUP(C1784,'Vendor Master'!$A$6:$A$15,'Vendor Master'!$B$6:$B$15,""),"")</f>
        <v/>
      </c>
      <c r="J1784">
        <f>IF(A1784="","",TEXT(A1784,"mmm-yyyy"))</f>
        <v/>
      </c>
    </row>
    <row r="1785">
      <c r="D1785">
        <f>IFERROR(XLOOKUP(C1785,'Vendor Master'!$A$6:$A$15,'Vendor Master'!$B$6:$B$15,""),"")</f>
        <v/>
      </c>
      <c r="J1785">
        <f>IF(A1785="","",TEXT(A1785,"mmm-yyyy"))</f>
        <v/>
      </c>
    </row>
    <row r="1786">
      <c r="D1786">
        <f>IFERROR(XLOOKUP(C1786,'Vendor Master'!$A$6:$A$15,'Vendor Master'!$B$6:$B$15,""),"")</f>
        <v/>
      </c>
      <c r="J1786">
        <f>IF(A1786="","",TEXT(A1786,"mmm-yyyy"))</f>
        <v/>
      </c>
    </row>
    <row r="1787">
      <c r="D1787">
        <f>IFERROR(XLOOKUP(C1787,'Vendor Master'!$A$6:$A$15,'Vendor Master'!$B$6:$B$15,""),"")</f>
        <v/>
      </c>
      <c r="J1787">
        <f>IF(A1787="","",TEXT(A1787,"mmm-yyyy"))</f>
        <v/>
      </c>
    </row>
    <row r="1788">
      <c r="D1788">
        <f>IFERROR(XLOOKUP(C1788,'Vendor Master'!$A$6:$A$15,'Vendor Master'!$B$6:$B$15,""),"")</f>
        <v/>
      </c>
      <c r="J1788">
        <f>IF(A1788="","",TEXT(A1788,"mmm-yyyy"))</f>
        <v/>
      </c>
    </row>
    <row r="1789">
      <c r="D1789">
        <f>IFERROR(XLOOKUP(C1789,'Vendor Master'!$A$6:$A$15,'Vendor Master'!$B$6:$B$15,""),"")</f>
        <v/>
      </c>
      <c r="J1789">
        <f>IF(A1789="","",TEXT(A1789,"mmm-yyyy"))</f>
        <v/>
      </c>
    </row>
    <row r="1790">
      <c r="D1790">
        <f>IFERROR(XLOOKUP(C1790,'Vendor Master'!$A$6:$A$15,'Vendor Master'!$B$6:$B$15,""),"")</f>
        <v/>
      </c>
      <c r="J1790">
        <f>IF(A1790="","",TEXT(A1790,"mmm-yyyy"))</f>
        <v/>
      </c>
    </row>
    <row r="1791">
      <c r="D1791">
        <f>IFERROR(XLOOKUP(C1791,'Vendor Master'!$A$6:$A$15,'Vendor Master'!$B$6:$B$15,""),"")</f>
        <v/>
      </c>
      <c r="J1791">
        <f>IF(A1791="","",TEXT(A1791,"mmm-yyyy"))</f>
        <v/>
      </c>
    </row>
    <row r="1792">
      <c r="D1792">
        <f>IFERROR(XLOOKUP(C1792,'Vendor Master'!$A$6:$A$15,'Vendor Master'!$B$6:$B$15,""),"")</f>
        <v/>
      </c>
      <c r="J1792">
        <f>IF(A1792="","",TEXT(A1792,"mmm-yyyy"))</f>
        <v/>
      </c>
    </row>
    <row r="1793">
      <c r="D1793">
        <f>IFERROR(XLOOKUP(C1793,'Vendor Master'!$A$6:$A$15,'Vendor Master'!$B$6:$B$15,""),"")</f>
        <v/>
      </c>
      <c r="J1793">
        <f>IF(A1793="","",TEXT(A1793,"mmm-yyyy"))</f>
        <v/>
      </c>
    </row>
    <row r="1794">
      <c r="D1794">
        <f>IFERROR(XLOOKUP(C1794,'Vendor Master'!$A$6:$A$15,'Vendor Master'!$B$6:$B$15,""),"")</f>
        <v/>
      </c>
      <c r="J1794">
        <f>IF(A1794="","",TEXT(A1794,"mmm-yyyy"))</f>
        <v/>
      </c>
    </row>
    <row r="1795">
      <c r="D1795">
        <f>IFERROR(XLOOKUP(C1795,'Vendor Master'!$A$6:$A$15,'Vendor Master'!$B$6:$B$15,""),"")</f>
        <v/>
      </c>
      <c r="J1795">
        <f>IF(A1795="","",TEXT(A1795,"mmm-yyyy"))</f>
        <v/>
      </c>
    </row>
    <row r="1796">
      <c r="D1796">
        <f>IFERROR(XLOOKUP(C1796,'Vendor Master'!$A$6:$A$15,'Vendor Master'!$B$6:$B$15,""),"")</f>
        <v/>
      </c>
      <c r="J1796">
        <f>IF(A1796="","",TEXT(A1796,"mmm-yyyy"))</f>
        <v/>
      </c>
    </row>
    <row r="1797">
      <c r="D1797">
        <f>IFERROR(XLOOKUP(C1797,'Vendor Master'!$A$6:$A$15,'Vendor Master'!$B$6:$B$15,""),"")</f>
        <v/>
      </c>
      <c r="J1797">
        <f>IF(A1797="","",TEXT(A1797,"mmm-yyyy"))</f>
        <v/>
      </c>
    </row>
    <row r="1798">
      <c r="D1798">
        <f>IFERROR(XLOOKUP(C1798,'Vendor Master'!$A$6:$A$15,'Vendor Master'!$B$6:$B$15,""),"")</f>
        <v/>
      </c>
      <c r="J1798">
        <f>IF(A1798="","",TEXT(A1798,"mmm-yyyy"))</f>
        <v/>
      </c>
    </row>
    <row r="1799">
      <c r="D1799">
        <f>IFERROR(XLOOKUP(C1799,'Vendor Master'!$A$6:$A$15,'Vendor Master'!$B$6:$B$15,""),"")</f>
        <v/>
      </c>
      <c r="J1799">
        <f>IF(A1799="","",TEXT(A1799,"mmm-yyyy"))</f>
        <v/>
      </c>
    </row>
    <row r="1800">
      <c r="D1800">
        <f>IFERROR(XLOOKUP(C1800,'Vendor Master'!$A$6:$A$15,'Vendor Master'!$B$6:$B$15,""),"")</f>
        <v/>
      </c>
      <c r="J1800">
        <f>IF(A1800="","",TEXT(A1800,"mmm-yyyy"))</f>
        <v/>
      </c>
    </row>
    <row r="1801">
      <c r="D1801">
        <f>IFERROR(XLOOKUP(C1801,'Vendor Master'!$A$6:$A$15,'Vendor Master'!$B$6:$B$15,""),"")</f>
        <v/>
      </c>
      <c r="J1801">
        <f>IF(A1801="","",TEXT(A1801,"mmm-yyyy"))</f>
        <v/>
      </c>
    </row>
    <row r="1802">
      <c r="D1802">
        <f>IFERROR(XLOOKUP(C1802,'Vendor Master'!$A$6:$A$15,'Vendor Master'!$B$6:$B$15,""),"")</f>
        <v/>
      </c>
      <c r="J1802">
        <f>IF(A1802="","",TEXT(A1802,"mmm-yyyy"))</f>
        <v/>
      </c>
    </row>
    <row r="1803">
      <c r="D1803">
        <f>IFERROR(XLOOKUP(C1803,'Vendor Master'!$A$6:$A$15,'Vendor Master'!$B$6:$B$15,""),"")</f>
        <v/>
      </c>
      <c r="J1803">
        <f>IF(A1803="","",TEXT(A1803,"mmm-yyyy"))</f>
        <v/>
      </c>
    </row>
    <row r="1804">
      <c r="D1804">
        <f>IFERROR(XLOOKUP(C1804,'Vendor Master'!$A$6:$A$15,'Vendor Master'!$B$6:$B$15,""),"")</f>
        <v/>
      </c>
      <c r="J1804">
        <f>IF(A1804="","",TEXT(A1804,"mmm-yyyy"))</f>
        <v/>
      </c>
    </row>
    <row r="1805">
      <c r="D1805">
        <f>IFERROR(XLOOKUP(C1805,'Vendor Master'!$A$6:$A$15,'Vendor Master'!$B$6:$B$15,""),"")</f>
        <v/>
      </c>
      <c r="J1805">
        <f>IF(A1805="","",TEXT(A1805,"mmm-yyyy"))</f>
        <v/>
      </c>
    </row>
    <row r="1806">
      <c r="D1806">
        <f>IFERROR(XLOOKUP(C1806,'Vendor Master'!$A$6:$A$15,'Vendor Master'!$B$6:$B$15,""),"")</f>
        <v/>
      </c>
      <c r="J1806">
        <f>IF(A1806="","",TEXT(A1806,"mmm-yyyy"))</f>
        <v/>
      </c>
    </row>
    <row r="1807">
      <c r="D1807">
        <f>IFERROR(XLOOKUP(C1807,'Vendor Master'!$A$6:$A$15,'Vendor Master'!$B$6:$B$15,""),"")</f>
        <v/>
      </c>
      <c r="J1807">
        <f>IF(A1807="","",TEXT(A1807,"mmm-yyyy"))</f>
        <v/>
      </c>
    </row>
    <row r="1808">
      <c r="D1808">
        <f>IFERROR(XLOOKUP(C1808,'Vendor Master'!$A$6:$A$15,'Vendor Master'!$B$6:$B$15,""),"")</f>
        <v/>
      </c>
      <c r="J1808">
        <f>IF(A1808="","",TEXT(A1808,"mmm-yyyy"))</f>
        <v/>
      </c>
    </row>
    <row r="1809">
      <c r="D1809">
        <f>IFERROR(XLOOKUP(C1809,'Vendor Master'!$A$6:$A$15,'Vendor Master'!$B$6:$B$15,""),"")</f>
        <v/>
      </c>
      <c r="J1809">
        <f>IF(A1809="","",TEXT(A1809,"mmm-yyyy"))</f>
        <v/>
      </c>
    </row>
    <row r="1810">
      <c r="D1810">
        <f>IFERROR(XLOOKUP(C1810,'Vendor Master'!$A$6:$A$15,'Vendor Master'!$B$6:$B$15,""),"")</f>
        <v/>
      </c>
      <c r="J1810">
        <f>IF(A1810="","",TEXT(A1810,"mmm-yyyy"))</f>
        <v/>
      </c>
    </row>
    <row r="1811">
      <c r="D1811">
        <f>IFERROR(XLOOKUP(C1811,'Vendor Master'!$A$6:$A$15,'Vendor Master'!$B$6:$B$15,""),"")</f>
        <v/>
      </c>
      <c r="J1811">
        <f>IF(A1811="","",TEXT(A1811,"mmm-yyyy"))</f>
        <v/>
      </c>
    </row>
    <row r="1812">
      <c r="D1812">
        <f>IFERROR(XLOOKUP(C1812,'Vendor Master'!$A$6:$A$15,'Vendor Master'!$B$6:$B$15,""),"")</f>
        <v/>
      </c>
      <c r="J1812">
        <f>IF(A1812="","",TEXT(A1812,"mmm-yyyy"))</f>
        <v/>
      </c>
    </row>
    <row r="1813">
      <c r="D1813">
        <f>IFERROR(XLOOKUP(C1813,'Vendor Master'!$A$6:$A$15,'Vendor Master'!$B$6:$B$15,""),"")</f>
        <v/>
      </c>
      <c r="J1813">
        <f>IF(A1813="","",TEXT(A1813,"mmm-yyyy"))</f>
        <v/>
      </c>
    </row>
    <row r="1814">
      <c r="D1814">
        <f>IFERROR(XLOOKUP(C1814,'Vendor Master'!$A$6:$A$15,'Vendor Master'!$B$6:$B$15,""),"")</f>
        <v/>
      </c>
      <c r="J1814">
        <f>IF(A1814="","",TEXT(A1814,"mmm-yyyy"))</f>
        <v/>
      </c>
    </row>
    <row r="1815">
      <c r="D1815">
        <f>IFERROR(XLOOKUP(C1815,'Vendor Master'!$A$6:$A$15,'Vendor Master'!$B$6:$B$15,""),"")</f>
        <v/>
      </c>
      <c r="J1815">
        <f>IF(A1815="","",TEXT(A1815,"mmm-yyyy"))</f>
        <v/>
      </c>
    </row>
    <row r="1816">
      <c r="D1816">
        <f>IFERROR(XLOOKUP(C1816,'Vendor Master'!$A$6:$A$15,'Vendor Master'!$B$6:$B$15,""),"")</f>
        <v/>
      </c>
      <c r="J1816">
        <f>IF(A1816="","",TEXT(A1816,"mmm-yyyy"))</f>
        <v/>
      </c>
    </row>
    <row r="1817">
      <c r="D1817">
        <f>IFERROR(XLOOKUP(C1817,'Vendor Master'!$A$6:$A$15,'Vendor Master'!$B$6:$B$15,""),"")</f>
        <v/>
      </c>
      <c r="J1817">
        <f>IF(A1817="","",TEXT(A1817,"mmm-yyyy"))</f>
        <v/>
      </c>
    </row>
    <row r="1818">
      <c r="D1818">
        <f>IFERROR(XLOOKUP(C1818,'Vendor Master'!$A$6:$A$15,'Vendor Master'!$B$6:$B$15,""),"")</f>
        <v/>
      </c>
      <c r="J1818">
        <f>IF(A1818="","",TEXT(A1818,"mmm-yyyy"))</f>
        <v/>
      </c>
    </row>
    <row r="1819">
      <c r="D1819">
        <f>IFERROR(XLOOKUP(C1819,'Vendor Master'!$A$6:$A$15,'Vendor Master'!$B$6:$B$15,""),"")</f>
        <v/>
      </c>
      <c r="J1819">
        <f>IF(A1819="","",TEXT(A1819,"mmm-yyyy"))</f>
        <v/>
      </c>
    </row>
    <row r="1820">
      <c r="D1820">
        <f>IFERROR(XLOOKUP(C1820,'Vendor Master'!$A$6:$A$15,'Vendor Master'!$B$6:$B$15,""),"")</f>
        <v/>
      </c>
      <c r="J1820">
        <f>IF(A1820="","",TEXT(A1820,"mmm-yyyy"))</f>
        <v/>
      </c>
    </row>
    <row r="1821">
      <c r="D1821">
        <f>IFERROR(XLOOKUP(C1821,'Vendor Master'!$A$6:$A$15,'Vendor Master'!$B$6:$B$15,""),"")</f>
        <v/>
      </c>
      <c r="J1821">
        <f>IF(A1821="","",TEXT(A1821,"mmm-yyyy"))</f>
        <v/>
      </c>
    </row>
    <row r="1822">
      <c r="D1822">
        <f>IFERROR(XLOOKUP(C1822,'Vendor Master'!$A$6:$A$15,'Vendor Master'!$B$6:$B$15,""),"")</f>
        <v/>
      </c>
      <c r="J1822">
        <f>IF(A1822="","",TEXT(A1822,"mmm-yyyy"))</f>
        <v/>
      </c>
    </row>
    <row r="1823">
      <c r="D1823">
        <f>IFERROR(XLOOKUP(C1823,'Vendor Master'!$A$6:$A$15,'Vendor Master'!$B$6:$B$15,""),"")</f>
        <v/>
      </c>
      <c r="J1823">
        <f>IF(A1823="","",TEXT(A1823,"mmm-yyyy"))</f>
        <v/>
      </c>
    </row>
    <row r="1824">
      <c r="D1824">
        <f>IFERROR(XLOOKUP(C1824,'Vendor Master'!$A$6:$A$15,'Vendor Master'!$B$6:$B$15,""),"")</f>
        <v/>
      </c>
      <c r="J1824">
        <f>IF(A1824="","",TEXT(A1824,"mmm-yyyy"))</f>
        <v/>
      </c>
    </row>
    <row r="1825">
      <c r="D1825">
        <f>IFERROR(XLOOKUP(C1825,'Vendor Master'!$A$6:$A$15,'Vendor Master'!$B$6:$B$15,""),"")</f>
        <v/>
      </c>
      <c r="J1825">
        <f>IF(A1825="","",TEXT(A1825,"mmm-yyyy"))</f>
        <v/>
      </c>
    </row>
    <row r="1826">
      <c r="D1826">
        <f>IFERROR(XLOOKUP(C1826,'Vendor Master'!$A$6:$A$15,'Vendor Master'!$B$6:$B$15,""),"")</f>
        <v/>
      </c>
      <c r="J1826">
        <f>IF(A1826="","",TEXT(A1826,"mmm-yyyy"))</f>
        <v/>
      </c>
    </row>
    <row r="1827">
      <c r="D1827">
        <f>IFERROR(XLOOKUP(C1827,'Vendor Master'!$A$6:$A$15,'Vendor Master'!$B$6:$B$15,""),"")</f>
        <v/>
      </c>
      <c r="J1827">
        <f>IF(A1827="","",TEXT(A1827,"mmm-yyyy"))</f>
        <v/>
      </c>
    </row>
    <row r="1828">
      <c r="D1828">
        <f>IFERROR(XLOOKUP(C1828,'Vendor Master'!$A$6:$A$15,'Vendor Master'!$B$6:$B$15,""),"")</f>
        <v/>
      </c>
      <c r="J1828">
        <f>IF(A1828="","",TEXT(A1828,"mmm-yyyy"))</f>
        <v/>
      </c>
    </row>
    <row r="1829">
      <c r="D1829">
        <f>IFERROR(XLOOKUP(C1829,'Vendor Master'!$A$6:$A$15,'Vendor Master'!$B$6:$B$15,""),"")</f>
        <v/>
      </c>
      <c r="J1829">
        <f>IF(A1829="","",TEXT(A1829,"mmm-yyyy"))</f>
        <v/>
      </c>
    </row>
    <row r="1830">
      <c r="D1830">
        <f>IFERROR(XLOOKUP(C1830,'Vendor Master'!$A$6:$A$15,'Vendor Master'!$B$6:$B$15,""),"")</f>
        <v/>
      </c>
      <c r="J1830">
        <f>IF(A1830="","",TEXT(A1830,"mmm-yyyy"))</f>
        <v/>
      </c>
    </row>
    <row r="1831">
      <c r="D1831">
        <f>IFERROR(XLOOKUP(C1831,'Vendor Master'!$A$6:$A$15,'Vendor Master'!$B$6:$B$15,""),"")</f>
        <v/>
      </c>
      <c r="J1831">
        <f>IF(A1831="","",TEXT(A1831,"mmm-yyyy"))</f>
        <v/>
      </c>
    </row>
    <row r="1832">
      <c r="D1832">
        <f>IFERROR(XLOOKUP(C1832,'Vendor Master'!$A$6:$A$15,'Vendor Master'!$B$6:$B$15,""),"")</f>
        <v/>
      </c>
      <c r="J1832">
        <f>IF(A1832="","",TEXT(A1832,"mmm-yyyy"))</f>
        <v/>
      </c>
    </row>
    <row r="1833">
      <c r="D1833">
        <f>IFERROR(XLOOKUP(C1833,'Vendor Master'!$A$6:$A$15,'Vendor Master'!$B$6:$B$15,""),"")</f>
        <v/>
      </c>
      <c r="J1833">
        <f>IF(A1833="","",TEXT(A1833,"mmm-yyyy"))</f>
        <v/>
      </c>
    </row>
    <row r="1834">
      <c r="D1834">
        <f>IFERROR(XLOOKUP(C1834,'Vendor Master'!$A$6:$A$15,'Vendor Master'!$B$6:$B$15,""),"")</f>
        <v/>
      </c>
      <c r="J1834">
        <f>IF(A1834="","",TEXT(A1834,"mmm-yyyy"))</f>
        <v/>
      </c>
    </row>
    <row r="1835">
      <c r="D1835">
        <f>IFERROR(XLOOKUP(C1835,'Vendor Master'!$A$6:$A$15,'Vendor Master'!$B$6:$B$15,""),"")</f>
        <v/>
      </c>
      <c r="J1835">
        <f>IF(A1835="","",TEXT(A1835,"mmm-yyyy"))</f>
        <v/>
      </c>
    </row>
    <row r="1836">
      <c r="D1836">
        <f>IFERROR(XLOOKUP(C1836,'Vendor Master'!$A$6:$A$15,'Vendor Master'!$B$6:$B$15,""),"")</f>
        <v/>
      </c>
      <c r="J1836">
        <f>IF(A1836="","",TEXT(A1836,"mmm-yyyy"))</f>
        <v/>
      </c>
    </row>
    <row r="1837">
      <c r="D1837">
        <f>IFERROR(XLOOKUP(C1837,'Vendor Master'!$A$6:$A$15,'Vendor Master'!$B$6:$B$15,""),"")</f>
        <v/>
      </c>
      <c r="J1837">
        <f>IF(A1837="","",TEXT(A1837,"mmm-yyyy"))</f>
        <v/>
      </c>
    </row>
    <row r="1838">
      <c r="D1838">
        <f>IFERROR(XLOOKUP(C1838,'Vendor Master'!$A$6:$A$15,'Vendor Master'!$B$6:$B$15,""),"")</f>
        <v/>
      </c>
      <c r="J1838">
        <f>IF(A1838="","",TEXT(A1838,"mmm-yyyy"))</f>
        <v/>
      </c>
    </row>
    <row r="1839">
      <c r="D1839">
        <f>IFERROR(XLOOKUP(C1839,'Vendor Master'!$A$6:$A$15,'Vendor Master'!$B$6:$B$15,""),"")</f>
        <v/>
      </c>
      <c r="J1839">
        <f>IF(A1839="","",TEXT(A1839,"mmm-yyyy"))</f>
        <v/>
      </c>
    </row>
    <row r="1840">
      <c r="D1840">
        <f>IFERROR(XLOOKUP(C1840,'Vendor Master'!$A$6:$A$15,'Vendor Master'!$B$6:$B$15,""),"")</f>
        <v/>
      </c>
      <c r="J1840">
        <f>IF(A1840="","",TEXT(A1840,"mmm-yyyy"))</f>
        <v/>
      </c>
    </row>
    <row r="1841">
      <c r="D1841">
        <f>IFERROR(XLOOKUP(C1841,'Vendor Master'!$A$6:$A$15,'Vendor Master'!$B$6:$B$15,""),"")</f>
        <v/>
      </c>
      <c r="J1841">
        <f>IF(A1841="","",TEXT(A1841,"mmm-yyyy"))</f>
        <v/>
      </c>
    </row>
    <row r="1842">
      <c r="D1842">
        <f>IFERROR(XLOOKUP(C1842,'Vendor Master'!$A$6:$A$15,'Vendor Master'!$B$6:$B$15,""),"")</f>
        <v/>
      </c>
      <c r="J1842">
        <f>IF(A1842="","",TEXT(A1842,"mmm-yyyy"))</f>
        <v/>
      </c>
    </row>
    <row r="1843">
      <c r="D1843">
        <f>IFERROR(XLOOKUP(C1843,'Vendor Master'!$A$6:$A$15,'Vendor Master'!$B$6:$B$15,""),"")</f>
        <v/>
      </c>
      <c r="J1843">
        <f>IF(A1843="","",TEXT(A1843,"mmm-yyyy"))</f>
        <v/>
      </c>
    </row>
    <row r="1844">
      <c r="D1844">
        <f>IFERROR(XLOOKUP(C1844,'Vendor Master'!$A$6:$A$15,'Vendor Master'!$B$6:$B$15,""),"")</f>
        <v/>
      </c>
      <c r="J1844">
        <f>IF(A1844="","",TEXT(A1844,"mmm-yyyy"))</f>
        <v/>
      </c>
    </row>
    <row r="1845">
      <c r="D1845">
        <f>IFERROR(XLOOKUP(C1845,'Vendor Master'!$A$6:$A$15,'Vendor Master'!$B$6:$B$15,""),"")</f>
        <v/>
      </c>
      <c r="J1845">
        <f>IF(A1845="","",TEXT(A1845,"mmm-yyyy"))</f>
        <v/>
      </c>
    </row>
    <row r="1846">
      <c r="D1846">
        <f>IFERROR(XLOOKUP(C1846,'Vendor Master'!$A$6:$A$15,'Vendor Master'!$B$6:$B$15,""),"")</f>
        <v/>
      </c>
      <c r="J1846">
        <f>IF(A1846="","",TEXT(A1846,"mmm-yyyy"))</f>
        <v/>
      </c>
    </row>
    <row r="1847">
      <c r="D1847">
        <f>IFERROR(XLOOKUP(C1847,'Vendor Master'!$A$6:$A$15,'Vendor Master'!$B$6:$B$15,""),"")</f>
        <v/>
      </c>
      <c r="J1847">
        <f>IF(A1847="","",TEXT(A1847,"mmm-yyyy"))</f>
        <v/>
      </c>
    </row>
    <row r="1848">
      <c r="D1848">
        <f>IFERROR(XLOOKUP(C1848,'Vendor Master'!$A$6:$A$15,'Vendor Master'!$B$6:$B$15,""),"")</f>
        <v/>
      </c>
      <c r="J1848">
        <f>IF(A1848="","",TEXT(A1848,"mmm-yyyy"))</f>
        <v/>
      </c>
    </row>
    <row r="1849">
      <c r="D1849">
        <f>IFERROR(XLOOKUP(C1849,'Vendor Master'!$A$6:$A$15,'Vendor Master'!$B$6:$B$15,""),"")</f>
        <v/>
      </c>
      <c r="J1849">
        <f>IF(A1849="","",TEXT(A1849,"mmm-yyyy"))</f>
        <v/>
      </c>
    </row>
    <row r="1850">
      <c r="D1850">
        <f>IFERROR(XLOOKUP(C1850,'Vendor Master'!$A$6:$A$15,'Vendor Master'!$B$6:$B$15,""),"")</f>
        <v/>
      </c>
      <c r="J1850">
        <f>IF(A1850="","",TEXT(A1850,"mmm-yyyy"))</f>
        <v/>
      </c>
    </row>
    <row r="1851">
      <c r="D1851">
        <f>IFERROR(XLOOKUP(C1851,'Vendor Master'!$A$6:$A$15,'Vendor Master'!$B$6:$B$15,""),"")</f>
        <v/>
      </c>
      <c r="J1851">
        <f>IF(A1851="","",TEXT(A1851,"mmm-yyyy"))</f>
        <v/>
      </c>
    </row>
    <row r="1852">
      <c r="D1852">
        <f>IFERROR(XLOOKUP(C1852,'Vendor Master'!$A$6:$A$15,'Vendor Master'!$B$6:$B$15,""),"")</f>
        <v/>
      </c>
      <c r="J1852">
        <f>IF(A1852="","",TEXT(A1852,"mmm-yyyy"))</f>
        <v/>
      </c>
    </row>
    <row r="1853">
      <c r="D1853">
        <f>IFERROR(XLOOKUP(C1853,'Vendor Master'!$A$6:$A$15,'Vendor Master'!$B$6:$B$15,""),"")</f>
        <v/>
      </c>
      <c r="J1853">
        <f>IF(A1853="","",TEXT(A1853,"mmm-yyyy"))</f>
        <v/>
      </c>
    </row>
    <row r="1854">
      <c r="D1854">
        <f>IFERROR(XLOOKUP(C1854,'Vendor Master'!$A$6:$A$15,'Vendor Master'!$B$6:$B$15,""),"")</f>
        <v/>
      </c>
      <c r="J1854">
        <f>IF(A1854="","",TEXT(A1854,"mmm-yyyy"))</f>
        <v/>
      </c>
    </row>
    <row r="1855">
      <c r="D1855">
        <f>IFERROR(XLOOKUP(C1855,'Vendor Master'!$A$6:$A$15,'Vendor Master'!$B$6:$B$15,""),"")</f>
        <v/>
      </c>
      <c r="J1855">
        <f>IF(A1855="","",TEXT(A1855,"mmm-yyyy"))</f>
        <v/>
      </c>
    </row>
    <row r="1856">
      <c r="D1856">
        <f>IFERROR(XLOOKUP(C1856,'Vendor Master'!$A$6:$A$15,'Vendor Master'!$B$6:$B$15,""),"")</f>
        <v/>
      </c>
      <c r="J1856">
        <f>IF(A1856="","",TEXT(A1856,"mmm-yyyy"))</f>
        <v/>
      </c>
    </row>
    <row r="1857">
      <c r="D1857">
        <f>IFERROR(XLOOKUP(C1857,'Vendor Master'!$A$6:$A$15,'Vendor Master'!$B$6:$B$15,""),"")</f>
        <v/>
      </c>
      <c r="J1857">
        <f>IF(A1857="","",TEXT(A1857,"mmm-yyyy"))</f>
        <v/>
      </c>
    </row>
    <row r="1858">
      <c r="D1858">
        <f>IFERROR(XLOOKUP(C1858,'Vendor Master'!$A$6:$A$15,'Vendor Master'!$B$6:$B$15,""),"")</f>
        <v/>
      </c>
      <c r="J1858">
        <f>IF(A1858="","",TEXT(A1858,"mmm-yyyy"))</f>
        <v/>
      </c>
    </row>
    <row r="1859">
      <c r="D1859">
        <f>IFERROR(XLOOKUP(C1859,'Vendor Master'!$A$6:$A$15,'Vendor Master'!$B$6:$B$15,""),"")</f>
        <v/>
      </c>
      <c r="J1859">
        <f>IF(A1859="","",TEXT(A1859,"mmm-yyyy"))</f>
        <v/>
      </c>
    </row>
    <row r="1860">
      <c r="D1860">
        <f>IFERROR(XLOOKUP(C1860,'Vendor Master'!$A$6:$A$15,'Vendor Master'!$B$6:$B$15,""),"")</f>
        <v/>
      </c>
      <c r="J1860">
        <f>IF(A1860="","",TEXT(A1860,"mmm-yyyy"))</f>
        <v/>
      </c>
    </row>
    <row r="1861">
      <c r="D1861">
        <f>IFERROR(XLOOKUP(C1861,'Vendor Master'!$A$6:$A$15,'Vendor Master'!$B$6:$B$15,""),"")</f>
        <v/>
      </c>
      <c r="J1861">
        <f>IF(A1861="","",TEXT(A1861,"mmm-yyyy"))</f>
        <v/>
      </c>
    </row>
    <row r="1862">
      <c r="D1862">
        <f>IFERROR(XLOOKUP(C1862,'Vendor Master'!$A$6:$A$15,'Vendor Master'!$B$6:$B$15,""),"")</f>
        <v/>
      </c>
      <c r="J1862">
        <f>IF(A1862="","",TEXT(A1862,"mmm-yyyy"))</f>
        <v/>
      </c>
    </row>
    <row r="1863">
      <c r="D1863">
        <f>IFERROR(XLOOKUP(C1863,'Vendor Master'!$A$6:$A$15,'Vendor Master'!$B$6:$B$15,""),"")</f>
        <v/>
      </c>
      <c r="J1863">
        <f>IF(A1863="","",TEXT(A1863,"mmm-yyyy"))</f>
        <v/>
      </c>
    </row>
    <row r="1864">
      <c r="D1864">
        <f>IFERROR(XLOOKUP(C1864,'Vendor Master'!$A$6:$A$15,'Vendor Master'!$B$6:$B$15,""),"")</f>
        <v/>
      </c>
      <c r="J1864">
        <f>IF(A1864="","",TEXT(A1864,"mmm-yyyy"))</f>
        <v/>
      </c>
    </row>
    <row r="1865">
      <c r="D1865">
        <f>IFERROR(XLOOKUP(C1865,'Vendor Master'!$A$6:$A$15,'Vendor Master'!$B$6:$B$15,""),"")</f>
        <v/>
      </c>
      <c r="J1865">
        <f>IF(A1865="","",TEXT(A1865,"mmm-yyyy"))</f>
        <v/>
      </c>
    </row>
    <row r="1866">
      <c r="D1866">
        <f>IFERROR(XLOOKUP(C1866,'Vendor Master'!$A$6:$A$15,'Vendor Master'!$B$6:$B$15,""),"")</f>
        <v/>
      </c>
      <c r="J1866">
        <f>IF(A1866="","",TEXT(A1866,"mmm-yyyy"))</f>
        <v/>
      </c>
    </row>
    <row r="1867">
      <c r="D1867">
        <f>IFERROR(XLOOKUP(C1867,'Vendor Master'!$A$6:$A$15,'Vendor Master'!$B$6:$B$15,""),"")</f>
        <v/>
      </c>
      <c r="J1867">
        <f>IF(A1867="","",TEXT(A1867,"mmm-yyyy"))</f>
        <v/>
      </c>
    </row>
    <row r="1868">
      <c r="D1868">
        <f>IFERROR(XLOOKUP(C1868,'Vendor Master'!$A$6:$A$15,'Vendor Master'!$B$6:$B$15,""),"")</f>
        <v/>
      </c>
      <c r="J1868">
        <f>IF(A1868="","",TEXT(A1868,"mmm-yyyy"))</f>
        <v/>
      </c>
    </row>
    <row r="1869">
      <c r="D1869">
        <f>IFERROR(XLOOKUP(C1869,'Vendor Master'!$A$6:$A$15,'Vendor Master'!$B$6:$B$15,""),"")</f>
        <v/>
      </c>
      <c r="J1869">
        <f>IF(A1869="","",TEXT(A1869,"mmm-yyyy"))</f>
        <v/>
      </c>
    </row>
    <row r="1870">
      <c r="D1870">
        <f>IFERROR(XLOOKUP(C1870,'Vendor Master'!$A$6:$A$15,'Vendor Master'!$B$6:$B$15,""),"")</f>
        <v/>
      </c>
      <c r="J1870">
        <f>IF(A1870="","",TEXT(A1870,"mmm-yyyy"))</f>
        <v/>
      </c>
    </row>
    <row r="1871">
      <c r="D1871">
        <f>IFERROR(XLOOKUP(C1871,'Vendor Master'!$A$6:$A$15,'Vendor Master'!$B$6:$B$15,""),"")</f>
        <v/>
      </c>
      <c r="J1871">
        <f>IF(A1871="","",TEXT(A1871,"mmm-yyyy"))</f>
        <v/>
      </c>
    </row>
    <row r="1872">
      <c r="D1872">
        <f>IFERROR(XLOOKUP(C1872,'Vendor Master'!$A$6:$A$15,'Vendor Master'!$B$6:$B$15,""),"")</f>
        <v/>
      </c>
      <c r="J1872">
        <f>IF(A1872="","",TEXT(A1872,"mmm-yyyy"))</f>
        <v/>
      </c>
    </row>
    <row r="1873">
      <c r="D1873">
        <f>IFERROR(XLOOKUP(C1873,'Vendor Master'!$A$6:$A$15,'Vendor Master'!$B$6:$B$15,""),"")</f>
        <v/>
      </c>
      <c r="J1873">
        <f>IF(A1873="","",TEXT(A1873,"mmm-yyyy"))</f>
        <v/>
      </c>
    </row>
    <row r="1874">
      <c r="D1874">
        <f>IFERROR(XLOOKUP(C1874,'Vendor Master'!$A$6:$A$15,'Vendor Master'!$B$6:$B$15,""),"")</f>
        <v/>
      </c>
      <c r="J1874">
        <f>IF(A1874="","",TEXT(A1874,"mmm-yyyy"))</f>
        <v/>
      </c>
    </row>
    <row r="1875">
      <c r="D1875">
        <f>IFERROR(XLOOKUP(C1875,'Vendor Master'!$A$6:$A$15,'Vendor Master'!$B$6:$B$15,""),"")</f>
        <v/>
      </c>
      <c r="J1875">
        <f>IF(A1875="","",TEXT(A1875,"mmm-yyyy"))</f>
        <v/>
      </c>
    </row>
    <row r="1876">
      <c r="D1876">
        <f>IFERROR(XLOOKUP(C1876,'Vendor Master'!$A$6:$A$15,'Vendor Master'!$B$6:$B$15,""),"")</f>
        <v/>
      </c>
      <c r="J1876">
        <f>IF(A1876="","",TEXT(A1876,"mmm-yyyy"))</f>
        <v/>
      </c>
    </row>
    <row r="1877">
      <c r="D1877">
        <f>IFERROR(XLOOKUP(C1877,'Vendor Master'!$A$6:$A$15,'Vendor Master'!$B$6:$B$15,""),"")</f>
        <v/>
      </c>
      <c r="J1877">
        <f>IF(A1877="","",TEXT(A1877,"mmm-yyyy"))</f>
        <v/>
      </c>
    </row>
    <row r="1878">
      <c r="D1878">
        <f>IFERROR(XLOOKUP(C1878,'Vendor Master'!$A$6:$A$15,'Vendor Master'!$B$6:$B$15,""),"")</f>
        <v/>
      </c>
      <c r="J1878">
        <f>IF(A1878="","",TEXT(A1878,"mmm-yyyy"))</f>
        <v/>
      </c>
    </row>
    <row r="1879">
      <c r="D1879">
        <f>IFERROR(XLOOKUP(C1879,'Vendor Master'!$A$6:$A$15,'Vendor Master'!$B$6:$B$15,""),"")</f>
        <v/>
      </c>
      <c r="J1879">
        <f>IF(A1879="","",TEXT(A1879,"mmm-yyyy"))</f>
        <v/>
      </c>
    </row>
    <row r="1880">
      <c r="D1880">
        <f>IFERROR(XLOOKUP(C1880,'Vendor Master'!$A$6:$A$15,'Vendor Master'!$B$6:$B$15,""),"")</f>
        <v/>
      </c>
      <c r="J1880">
        <f>IF(A1880="","",TEXT(A1880,"mmm-yyyy"))</f>
        <v/>
      </c>
    </row>
    <row r="1881">
      <c r="D1881">
        <f>IFERROR(XLOOKUP(C1881,'Vendor Master'!$A$6:$A$15,'Vendor Master'!$B$6:$B$15,""),"")</f>
        <v/>
      </c>
      <c r="J1881">
        <f>IF(A1881="","",TEXT(A1881,"mmm-yyyy"))</f>
        <v/>
      </c>
    </row>
    <row r="1882">
      <c r="D1882">
        <f>IFERROR(XLOOKUP(C1882,'Vendor Master'!$A$6:$A$15,'Vendor Master'!$B$6:$B$15,""),"")</f>
        <v/>
      </c>
      <c r="J1882">
        <f>IF(A1882="","",TEXT(A1882,"mmm-yyyy"))</f>
        <v/>
      </c>
    </row>
    <row r="1883">
      <c r="D1883">
        <f>IFERROR(XLOOKUP(C1883,'Vendor Master'!$A$6:$A$15,'Vendor Master'!$B$6:$B$15,""),"")</f>
        <v/>
      </c>
      <c r="J1883">
        <f>IF(A1883="","",TEXT(A1883,"mmm-yyyy"))</f>
        <v/>
      </c>
    </row>
    <row r="1884">
      <c r="D1884">
        <f>IFERROR(XLOOKUP(C1884,'Vendor Master'!$A$6:$A$15,'Vendor Master'!$B$6:$B$15,""),"")</f>
        <v/>
      </c>
      <c r="J1884">
        <f>IF(A1884="","",TEXT(A1884,"mmm-yyyy"))</f>
        <v/>
      </c>
    </row>
    <row r="1885">
      <c r="D1885">
        <f>IFERROR(XLOOKUP(C1885,'Vendor Master'!$A$6:$A$15,'Vendor Master'!$B$6:$B$15,""),"")</f>
        <v/>
      </c>
      <c r="J1885">
        <f>IF(A1885="","",TEXT(A1885,"mmm-yyyy"))</f>
        <v/>
      </c>
    </row>
    <row r="1886">
      <c r="D1886">
        <f>IFERROR(XLOOKUP(C1886,'Vendor Master'!$A$6:$A$15,'Vendor Master'!$B$6:$B$15,""),"")</f>
        <v/>
      </c>
      <c r="J1886">
        <f>IF(A1886="","",TEXT(A1886,"mmm-yyyy"))</f>
        <v/>
      </c>
    </row>
    <row r="1887">
      <c r="D1887">
        <f>IFERROR(XLOOKUP(C1887,'Vendor Master'!$A$6:$A$15,'Vendor Master'!$B$6:$B$15,""),"")</f>
        <v/>
      </c>
      <c r="J1887">
        <f>IF(A1887="","",TEXT(A1887,"mmm-yyyy"))</f>
        <v/>
      </c>
    </row>
    <row r="1888">
      <c r="D1888">
        <f>IFERROR(XLOOKUP(C1888,'Vendor Master'!$A$6:$A$15,'Vendor Master'!$B$6:$B$15,""),"")</f>
        <v/>
      </c>
      <c r="J1888">
        <f>IF(A1888="","",TEXT(A1888,"mmm-yyyy"))</f>
        <v/>
      </c>
    </row>
    <row r="1889">
      <c r="D1889">
        <f>IFERROR(XLOOKUP(C1889,'Vendor Master'!$A$6:$A$15,'Vendor Master'!$B$6:$B$15,""),"")</f>
        <v/>
      </c>
      <c r="J1889">
        <f>IF(A1889="","",TEXT(A1889,"mmm-yyyy"))</f>
        <v/>
      </c>
    </row>
    <row r="1890">
      <c r="D1890">
        <f>IFERROR(XLOOKUP(C1890,'Vendor Master'!$A$6:$A$15,'Vendor Master'!$B$6:$B$15,""),"")</f>
        <v/>
      </c>
      <c r="J1890">
        <f>IF(A1890="","",TEXT(A1890,"mmm-yyyy"))</f>
        <v/>
      </c>
    </row>
    <row r="1891">
      <c r="D1891">
        <f>IFERROR(XLOOKUP(C1891,'Vendor Master'!$A$6:$A$15,'Vendor Master'!$B$6:$B$15,""),"")</f>
        <v/>
      </c>
      <c r="J1891">
        <f>IF(A1891="","",TEXT(A1891,"mmm-yyyy"))</f>
        <v/>
      </c>
    </row>
    <row r="1892">
      <c r="D1892">
        <f>IFERROR(XLOOKUP(C1892,'Vendor Master'!$A$6:$A$15,'Vendor Master'!$B$6:$B$15,""),"")</f>
        <v/>
      </c>
      <c r="J1892">
        <f>IF(A1892="","",TEXT(A1892,"mmm-yyyy"))</f>
        <v/>
      </c>
    </row>
    <row r="1893">
      <c r="D1893">
        <f>IFERROR(XLOOKUP(C1893,'Vendor Master'!$A$6:$A$15,'Vendor Master'!$B$6:$B$15,""),"")</f>
        <v/>
      </c>
      <c r="J1893">
        <f>IF(A1893="","",TEXT(A1893,"mmm-yyyy"))</f>
        <v/>
      </c>
    </row>
    <row r="1894">
      <c r="D1894">
        <f>IFERROR(XLOOKUP(C1894,'Vendor Master'!$A$6:$A$15,'Vendor Master'!$B$6:$B$15,""),"")</f>
        <v/>
      </c>
      <c r="J1894">
        <f>IF(A1894="","",TEXT(A1894,"mmm-yyyy"))</f>
        <v/>
      </c>
    </row>
    <row r="1895">
      <c r="D1895">
        <f>IFERROR(XLOOKUP(C1895,'Vendor Master'!$A$6:$A$15,'Vendor Master'!$B$6:$B$15,""),"")</f>
        <v/>
      </c>
      <c r="J1895">
        <f>IF(A1895="","",TEXT(A1895,"mmm-yyyy"))</f>
        <v/>
      </c>
    </row>
    <row r="1896">
      <c r="D1896">
        <f>IFERROR(XLOOKUP(C1896,'Vendor Master'!$A$6:$A$15,'Vendor Master'!$B$6:$B$15,""),"")</f>
        <v/>
      </c>
      <c r="J1896">
        <f>IF(A1896="","",TEXT(A1896,"mmm-yyyy"))</f>
        <v/>
      </c>
    </row>
    <row r="1897">
      <c r="D1897">
        <f>IFERROR(XLOOKUP(C1897,'Vendor Master'!$A$6:$A$15,'Vendor Master'!$B$6:$B$15,""),"")</f>
        <v/>
      </c>
      <c r="J1897">
        <f>IF(A1897="","",TEXT(A1897,"mmm-yyyy"))</f>
        <v/>
      </c>
    </row>
    <row r="1898">
      <c r="D1898">
        <f>IFERROR(XLOOKUP(C1898,'Vendor Master'!$A$6:$A$15,'Vendor Master'!$B$6:$B$15,""),"")</f>
        <v/>
      </c>
      <c r="J1898">
        <f>IF(A1898="","",TEXT(A1898,"mmm-yyyy"))</f>
        <v/>
      </c>
    </row>
    <row r="1899">
      <c r="D1899">
        <f>IFERROR(XLOOKUP(C1899,'Vendor Master'!$A$6:$A$15,'Vendor Master'!$B$6:$B$15,""),"")</f>
        <v/>
      </c>
      <c r="J1899">
        <f>IF(A1899="","",TEXT(A1899,"mmm-yyyy"))</f>
        <v/>
      </c>
    </row>
    <row r="1900">
      <c r="D1900">
        <f>IFERROR(XLOOKUP(C1900,'Vendor Master'!$A$6:$A$15,'Vendor Master'!$B$6:$B$15,""),"")</f>
        <v/>
      </c>
      <c r="J1900">
        <f>IF(A1900="","",TEXT(A1900,"mmm-yyyy"))</f>
        <v/>
      </c>
    </row>
    <row r="1901">
      <c r="D1901">
        <f>IFERROR(XLOOKUP(C1901,'Vendor Master'!$A$6:$A$15,'Vendor Master'!$B$6:$B$15,""),"")</f>
        <v/>
      </c>
      <c r="J1901">
        <f>IF(A1901="","",TEXT(A1901,"mmm-yyyy"))</f>
        <v/>
      </c>
    </row>
    <row r="1902">
      <c r="D1902">
        <f>IFERROR(XLOOKUP(C1902,'Vendor Master'!$A$6:$A$15,'Vendor Master'!$B$6:$B$15,""),"")</f>
        <v/>
      </c>
      <c r="J1902">
        <f>IF(A1902="","",TEXT(A1902,"mmm-yyyy"))</f>
        <v/>
      </c>
    </row>
    <row r="1903">
      <c r="D1903">
        <f>IFERROR(XLOOKUP(C1903,'Vendor Master'!$A$6:$A$15,'Vendor Master'!$B$6:$B$15,""),"")</f>
        <v/>
      </c>
      <c r="J1903">
        <f>IF(A1903="","",TEXT(A1903,"mmm-yyyy"))</f>
        <v/>
      </c>
    </row>
    <row r="1904">
      <c r="D1904">
        <f>IFERROR(XLOOKUP(C1904,'Vendor Master'!$A$6:$A$15,'Vendor Master'!$B$6:$B$15,""),"")</f>
        <v/>
      </c>
      <c r="J1904">
        <f>IF(A1904="","",TEXT(A1904,"mmm-yyyy"))</f>
        <v/>
      </c>
    </row>
    <row r="1905">
      <c r="D1905">
        <f>IFERROR(XLOOKUP(C1905,'Vendor Master'!$A$6:$A$15,'Vendor Master'!$B$6:$B$15,""),"")</f>
        <v/>
      </c>
      <c r="J1905">
        <f>IF(A1905="","",TEXT(A1905,"mmm-yyyy"))</f>
        <v/>
      </c>
    </row>
    <row r="1906">
      <c r="D1906">
        <f>IFERROR(XLOOKUP(C1906,'Vendor Master'!$A$6:$A$15,'Vendor Master'!$B$6:$B$15,""),"")</f>
        <v/>
      </c>
      <c r="J1906">
        <f>IF(A1906="","",TEXT(A1906,"mmm-yyyy"))</f>
        <v/>
      </c>
    </row>
    <row r="1907">
      <c r="D1907">
        <f>IFERROR(XLOOKUP(C1907,'Vendor Master'!$A$6:$A$15,'Vendor Master'!$B$6:$B$15,""),"")</f>
        <v/>
      </c>
      <c r="J1907">
        <f>IF(A1907="","",TEXT(A1907,"mmm-yyyy"))</f>
        <v/>
      </c>
    </row>
    <row r="1908">
      <c r="D1908">
        <f>IFERROR(XLOOKUP(C1908,'Vendor Master'!$A$6:$A$15,'Vendor Master'!$B$6:$B$15,""),"")</f>
        <v/>
      </c>
      <c r="J1908">
        <f>IF(A1908="","",TEXT(A1908,"mmm-yyyy"))</f>
        <v/>
      </c>
    </row>
    <row r="1909">
      <c r="D1909">
        <f>IFERROR(XLOOKUP(C1909,'Vendor Master'!$A$6:$A$15,'Vendor Master'!$B$6:$B$15,""),"")</f>
        <v/>
      </c>
      <c r="J1909">
        <f>IF(A1909="","",TEXT(A1909,"mmm-yyyy"))</f>
        <v/>
      </c>
    </row>
    <row r="1910">
      <c r="D1910">
        <f>IFERROR(XLOOKUP(C1910,'Vendor Master'!$A$6:$A$15,'Vendor Master'!$B$6:$B$15,""),"")</f>
        <v/>
      </c>
      <c r="J1910">
        <f>IF(A1910="","",TEXT(A1910,"mmm-yyyy"))</f>
        <v/>
      </c>
    </row>
    <row r="1911">
      <c r="D1911">
        <f>IFERROR(XLOOKUP(C1911,'Vendor Master'!$A$6:$A$15,'Vendor Master'!$B$6:$B$15,""),"")</f>
        <v/>
      </c>
      <c r="J1911">
        <f>IF(A1911="","",TEXT(A1911,"mmm-yyyy"))</f>
        <v/>
      </c>
    </row>
    <row r="1912">
      <c r="D1912">
        <f>IFERROR(XLOOKUP(C1912,'Vendor Master'!$A$6:$A$15,'Vendor Master'!$B$6:$B$15,""),"")</f>
        <v/>
      </c>
      <c r="J1912">
        <f>IF(A1912="","",TEXT(A1912,"mmm-yyyy"))</f>
        <v/>
      </c>
    </row>
    <row r="1913">
      <c r="D1913">
        <f>IFERROR(XLOOKUP(C1913,'Vendor Master'!$A$6:$A$15,'Vendor Master'!$B$6:$B$15,""),"")</f>
        <v/>
      </c>
      <c r="J1913">
        <f>IF(A1913="","",TEXT(A1913,"mmm-yyyy"))</f>
        <v/>
      </c>
    </row>
    <row r="1914">
      <c r="D1914">
        <f>IFERROR(XLOOKUP(C1914,'Vendor Master'!$A$6:$A$15,'Vendor Master'!$B$6:$B$15,""),"")</f>
        <v/>
      </c>
      <c r="J1914">
        <f>IF(A1914="","",TEXT(A1914,"mmm-yyyy"))</f>
        <v/>
      </c>
    </row>
    <row r="1915">
      <c r="D1915">
        <f>IFERROR(XLOOKUP(C1915,'Vendor Master'!$A$6:$A$15,'Vendor Master'!$B$6:$B$15,""),"")</f>
        <v/>
      </c>
      <c r="J1915">
        <f>IF(A1915="","",TEXT(A1915,"mmm-yyyy"))</f>
        <v/>
      </c>
    </row>
    <row r="1916">
      <c r="D1916">
        <f>IFERROR(XLOOKUP(C1916,'Vendor Master'!$A$6:$A$15,'Vendor Master'!$B$6:$B$15,""),"")</f>
        <v/>
      </c>
      <c r="J1916">
        <f>IF(A1916="","",TEXT(A1916,"mmm-yyyy"))</f>
        <v/>
      </c>
    </row>
    <row r="1917">
      <c r="D1917">
        <f>IFERROR(XLOOKUP(C1917,'Vendor Master'!$A$6:$A$15,'Vendor Master'!$B$6:$B$15,""),"")</f>
        <v/>
      </c>
      <c r="J1917">
        <f>IF(A1917="","",TEXT(A1917,"mmm-yyyy"))</f>
        <v/>
      </c>
    </row>
    <row r="1918">
      <c r="D1918">
        <f>IFERROR(XLOOKUP(C1918,'Vendor Master'!$A$6:$A$15,'Vendor Master'!$B$6:$B$15,""),"")</f>
        <v/>
      </c>
      <c r="J1918">
        <f>IF(A1918="","",TEXT(A1918,"mmm-yyyy"))</f>
        <v/>
      </c>
    </row>
    <row r="1919">
      <c r="D1919">
        <f>IFERROR(XLOOKUP(C1919,'Vendor Master'!$A$6:$A$15,'Vendor Master'!$B$6:$B$15,""),"")</f>
        <v/>
      </c>
      <c r="J1919">
        <f>IF(A1919="","",TEXT(A1919,"mmm-yyyy"))</f>
        <v/>
      </c>
    </row>
    <row r="1920">
      <c r="D1920">
        <f>IFERROR(XLOOKUP(C1920,'Vendor Master'!$A$6:$A$15,'Vendor Master'!$B$6:$B$15,""),"")</f>
        <v/>
      </c>
      <c r="J1920">
        <f>IF(A1920="","",TEXT(A1920,"mmm-yyyy"))</f>
        <v/>
      </c>
    </row>
    <row r="1921">
      <c r="D1921">
        <f>IFERROR(XLOOKUP(C1921,'Vendor Master'!$A$6:$A$15,'Vendor Master'!$B$6:$B$15,""),"")</f>
        <v/>
      </c>
      <c r="J1921">
        <f>IF(A1921="","",TEXT(A1921,"mmm-yyyy"))</f>
        <v/>
      </c>
    </row>
    <row r="1922">
      <c r="D1922">
        <f>IFERROR(XLOOKUP(C1922,'Vendor Master'!$A$6:$A$15,'Vendor Master'!$B$6:$B$15,""),"")</f>
        <v/>
      </c>
      <c r="J1922">
        <f>IF(A1922="","",TEXT(A1922,"mmm-yyyy"))</f>
        <v/>
      </c>
    </row>
    <row r="1923">
      <c r="D1923">
        <f>IFERROR(XLOOKUP(C1923,'Vendor Master'!$A$6:$A$15,'Vendor Master'!$B$6:$B$15,""),"")</f>
        <v/>
      </c>
      <c r="J1923">
        <f>IF(A1923="","",TEXT(A1923,"mmm-yyyy"))</f>
        <v/>
      </c>
    </row>
    <row r="1924">
      <c r="D1924">
        <f>IFERROR(XLOOKUP(C1924,'Vendor Master'!$A$6:$A$15,'Vendor Master'!$B$6:$B$15,""),"")</f>
        <v/>
      </c>
      <c r="J1924">
        <f>IF(A1924="","",TEXT(A1924,"mmm-yyyy"))</f>
        <v/>
      </c>
    </row>
    <row r="1925">
      <c r="D1925">
        <f>IFERROR(XLOOKUP(C1925,'Vendor Master'!$A$6:$A$15,'Vendor Master'!$B$6:$B$15,""),"")</f>
        <v/>
      </c>
      <c r="J1925">
        <f>IF(A1925="","",TEXT(A1925,"mmm-yyyy"))</f>
        <v/>
      </c>
    </row>
    <row r="1926">
      <c r="D1926">
        <f>IFERROR(XLOOKUP(C1926,'Vendor Master'!$A$6:$A$15,'Vendor Master'!$B$6:$B$15,""),"")</f>
        <v/>
      </c>
      <c r="J1926">
        <f>IF(A1926="","",TEXT(A1926,"mmm-yyyy"))</f>
        <v/>
      </c>
    </row>
    <row r="1927">
      <c r="D1927">
        <f>IFERROR(XLOOKUP(C1927,'Vendor Master'!$A$6:$A$15,'Vendor Master'!$B$6:$B$15,""),"")</f>
        <v/>
      </c>
      <c r="J1927">
        <f>IF(A1927="","",TEXT(A1927,"mmm-yyyy"))</f>
        <v/>
      </c>
    </row>
    <row r="1928">
      <c r="D1928">
        <f>IFERROR(XLOOKUP(C1928,'Vendor Master'!$A$6:$A$15,'Vendor Master'!$B$6:$B$15,""),"")</f>
        <v/>
      </c>
      <c r="J1928">
        <f>IF(A1928="","",TEXT(A1928,"mmm-yyyy"))</f>
        <v/>
      </c>
    </row>
    <row r="1929">
      <c r="D1929">
        <f>IFERROR(XLOOKUP(C1929,'Vendor Master'!$A$6:$A$15,'Vendor Master'!$B$6:$B$15,""),"")</f>
        <v/>
      </c>
      <c r="J1929">
        <f>IF(A1929="","",TEXT(A1929,"mmm-yyyy"))</f>
        <v/>
      </c>
    </row>
    <row r="1930">
      <c r="D1930">
        <f>IFERROR(XLOOKUP(C1930,'Vendor Master'!$A$6:$A$15,'Vendor Master'!$B$6:$B$15,""),"")</f>
        <v/>
      </c>
      <c r="J1930">
        <f>IF(A1930="","",TEXT(A1930,"mmm-yyyy"))</f>
        <v/>
      </c>
    </row>
    <row r="1931">
      <c r="D1931">
        <f>IFERROR(XLOOKUP(C1931,'Vendor Master'!$A$6:$A$15,'Vendor Master'!$B$6:$B$15,""),"")</f>
        <v/>
      </c>
      <c r="J1931">
        <f>IF(A1931="","",TEXT(A1931,"mmm-yyyy"))</f>
        <v/>
      </c>
    </row>
    <row r="1932">
      <c r="D1932">
        <f>IFERROR(XLOOKUP(C1932,'Vendor Master'!$A$6:$A$15,'Vendor Master'!$B$6:$B$15,""),"")</f>
        <v/>
      </c>
      <c r="J1932">
        <f>IF(A1932="","",TEXT(A1932,"mmm-yyyy"))</f>
        <v/>
      </c>
    </row>
    <row r="1933">
      <c r="D1933">
        <f>IFERROR(XLOOKUP(C1933,'Vendor Master'!$A$6:$A$15,'Vendor Master'!$B$6:$B$15,""),"")</f>
        <v/>
      </c>
      <c r="J1933">
        <f>IF(A1933="","",TEXT(A1933,"mmm-yyyy"))</f>
        <v/>
      </c>
    </row>
    <row r="1934">
      <c r="D1934">
        <f>IFERROR(XLOOKUP(C1934,'Vendor Master'!$A$6:$A$15,'Vendor Master'!$B$6:$B$15,""),"")</f>
        <v/>
      </c>
      <c r="J1934">
        <f>IF(A1934="","",TEXT(A1934,"mmm-yyyy"))</f>
        <v/>
      </c>
    </row>
    <row r="1935">
      <c r="D1935">
        <f>IFERROR(XLOOKUP(C1935,'Vendor Master'!$A$6:$A$15,'Vendor Master'!$B$6:$B$15,""),"")</f>
        <v/>
      </c>
      <c r="J1935">
        <f>IF(A1935="","",TEXT(A1935,"mmm-yyyy"))</f>
        <v/>
      </c>
    </row>
    <row r="1936">
      <c r="D1936">
        <f>IFERROR(XLOOKUP(C1936,'Vendor Master'!$A$6:$A$15,'Vendor Master'!$B$6:$B$15,""),"")</f>
        <v/>
      </c>
      <c r="J1936">
        <f>IF(A1936="","",TEXT(A1936,"mmm-yyyy"))</f>
        <v/>
      </c>
    </row>
    <row r="1937">
      <c r="D1937">
        <f>IFERROR(XLOOKUP(C1937,'Vendor Master'!$A$6:$A$15,'Vendor Master'!$B$6:$B$15,""),"")</f>
        <v/>
      </c>
      <c r="J1937">
        <f>IF(A1937="","",TEXT(A1937,"mmm-yyyy"))</f>
        <v/>
      </c>
    </row>
    <row r="1938">
      <c r="D1938">
        <f>IFERROR(XLOOKUP(C1938,'Vendor Master'!$A$6:$A$15,'Vendor Master'!$B$6:$B$15,""),"")</f>
        <v/>
      </c>
      <c r="J1938">
        <f>IF(A1938="","",TEXT(A1938,"mmm-yyyy"))</f>
        <v/>
      </c>
    </row>
    <row r="1939">
      <c r="D1939">
        <f>IFERROR(XLOOKUP(C1939,'Vendor Master'!$A$6:$A$15,'Vendor Master'!$B$6:$B$15,""),"")</f>
        <v/>
      </c>
      <c r="J1939">
        <f>IF(A1939="","",TEXT(A1939,"mmm-yyyy"))</f>
        <v/>
      </c>
    </row>
    <row r="1940">
      <c r="D1940">
        <f>IFERROR(XLOOKUP(C1940,'Vendor Master'!$A$6:$A$15,'Vendor Master'!$B$6:$B$15,""),"")</f>
        <v/>
      </c>
      <c r="J1940">
        <f>IF(A1940="","",TEXT(A1940,"mmm-yyyy"))</f>
        <v/>
      </c>
    </row>
    <row r="1941">
      <c r="D1941">
        <f>IFERROR(XLOOKUP(C1941,'Vendor Master'!$A$6:$A$15,'Vendor Master'!$B$6:$B$15,""),"")</f>
        <v/>
      </c>
      <c r="J1941">
        <f>IF(A1941="","",TEXT(A1941,"mmm-yyyy"))</f>
        <v/>
      </c>
    </row>
    <row r="1942">
      <c r="D1942">
        <f>IFERROR(XLOOKUP(C1942,'Vendor Master'!$A$6:$A$15,'Vendor Master'!$B$6:$B$15,""),"")</f>
        <v/>
      </c>
      <c r="J1942">
        <f>IF(A1942="","",TEXT(A1942,"mmm-yyyy"))</f>
        <v/>
      </c>
    </row>
    <row r="1943">
      <c r="D1943">
        <f>IFERROR(XLOOKUP(C1943,'Vendor Master'!$A$6:$A$15,'Vendor Master'!$B$6:$B$15,""),"")</f>
        <v/>
      </c>
      <c r="J1943">
        <f>IF(A1943="","",TEXT(A1943,"mmm-yyyy"))</f>
        <v/>
      </c>
    </row>
    <row r="1944">
      <c r="D1944">
        <f>IFERROR(XLOOKUP(C1944,'Vendor Master'!$A$6:$A$15,'Vendor Master'!$B$6:$B$15,""),"")</f>
        <v/>
      </c>
      <c r="J1944">
        <f>IF(A1944="","",TEXT(A1944,"mmm-yyyy"))</f>
        <v/>
      </c>
    </row>
    <row r="1945">
      <c r="D1945">
        <f>IFERROR(XLOOKUP(C1945,'Vendor Master'!$A$6:$A$15,'Vendor Master'!$B$6:$B$15,""),"")</f>
        <v/>
      </c>
      <c r="J1945">
        <f>IF(A1945="","",TEXT(A1945,"mmm-yyyy"))</f>
        <v/>
      </c>
    </row>
    <row r="1946">
      <c r="D1946">
        <f>IFERROR(XLOOKUP(C1946,'Vendor Master'!$A$6:$A$15,'Vendor Master'!$B$6:$B$15,""),"")</f>
        <v/>
      </c>
      <c r="J1946">
        <f>IF(A1946="","",TEXT(A1946,"mmm-yyyy"))</f>
        <v/>
      </c>
    </row>
    <row r="1947">
      <c r="D1947">
        <f>IFERROR(XLOOKUP(C1947,'Vendor Master'!$A$6:$A$15,'Vendor Master'!$B$6:$B$15,""),"")</f>
        <v/>
      </c>
      <c r="J1947">
        <f>IF(A1947="","",TEXT(A1947,"mmm-yyyy"))</f>
        <v/>
      </c>
    </row>
    <row r="1948">
      <c r="D1948">
        <f>IFERROR(XLOOKUP(C1948,'Vendor Master'!$A$6:$A$15,'Vendor Master'!$B$6:$B$15,""),"")</f>
        <v/>
      </c>
      <c r="J1948">
        <f>IF(A1948="","",TEXT(A1948,"mmm-yyyy"))</f>
        <v/>
      </c>
    </row>
    <row r="1949">
      <c r="D1949">
        <f>IFERROR(XLOOKUP(C1949,'Vendor Master'!$A$6:$A$15,'Vendor Master'!$B$6:$B$15,""),"")</f>
        <v/>
      </c>
      <c r="J1949">
        <f>IF(A1949="","",TEXT(A1949,"mmm-yyyy"))</f>
        <v/>
      </c>
    </row>
    <row r="1950">
      <c r="D1950">
        <f>IFERROR(XLOOKUP(C1950,'Vendor Master'!$A$6:$A$15,'Vendor Master'!$B$6:$B$15,""),"")</f>
        <v/>
      </c>
      <c r="J1950">
        <f>IF(A1950="","",TEXT(A1950,"mmm-yyyy"))</f>
        <v/>
      </c>
    </row>
    <row r="1951">
      <c r="D1951">
        <f>IFERROR(XLOOKUP(C1951,'Vendor Master'!$A$6:$A$15,'Vendor Master'!$B$6:$B$15,""),"")</f>
        <v/>
      </c>
      <c r="J1951">
        <f>IF(A1951="","",TEXT(A1951,"mmm-yyyy"))</f>
        <v/>
      </c>
    </row>
    <row r="1952">
      <c r="D1952">
        <f>IFERROR(XLOOKUP(C1952,'Vendor Master'!$A$6:$A$15,'Vendor Master'!$B$6:$B$15,""),"")</f>
        <v/>
      </c>
      <c r="J1952">
        <f>IF(A1952="","",TEXT(A1952,"mmm-yyyy"))</f>
        <v/>
      </c>
    </row>
    <row r="1953">
      <c r="D1953">
        <f>IFERROR(XLOOKUP(C1953,'Vendor Master'!$A$6:$A$15,'Vendor Master'!$B$6:$B$15,""),"")</f>
        <v/>
      </c>
      <c r="J1953">
        <f>IF(A1953="","",TEXT(A1953,"mmm-yyyy"))</f>
        <v/>
      </c>
    </row>
    <row r="1954">
      <c r="D1954">
        <f>IFERROR(XLOOKUP(C1954,'Vendor Master'!$A$6:$A$15,'Vendor Master'!$B$6:$B$15,""),"")</f>
        <v/>
      </c>
      <c r="J1954">
        <f>IF(A1954="","",TEXT(A1954,"mmm-yyyy"))</f>
        <v/>
      </c>
    </row>
    <row r="1955">
      <c r="D1955">
        <f>IFERROR(XLOOKUP(C1955,'Vendor Master'!$A$6:$A$15,'Vendor Master'!$B$6:$B$15,""),"")</f>
        <v/>
      </c>
      <c r="J1955">
        <f>IF(A1955="","",TEXT(A1955,"mmm-yyyy"))</f>
        <v/>
      </c>
    </row>
    <row r="1956">
      <c r="D1956">
        <f>IFERROR(XLOOKUP(C1956,'Vendor Master'!$A$6:$A$15,'Vendor Master'!$B$6:$B$15,""),"")</f>
        <v/>
      </c>
      <c r="J1956">
        <f>IF(A1956="","",TEXT(A1956,"mmm-yyyy"))</f>
        <v/>
      </c>
    </row>
    <row r="1957">
      <c r="D1957">
        <f>IFERROR(XLOOKUP(C1957,'Vendor Master'!$A$6:$A$15,'Vendor Master'!$B$6:$B$15,""),"")</f>
        <v/>
      </c>
      <c r="J1957">
        <f>IF(A1957="","",TEXT(A1957,"mmm-yyyy"))</f>
        <v/>
      </c>
    </row>
    <row r="1958">
      <c r="D1958">
        <f>IFERROR(XLOOKUP(C1958,'Vendor Master'!$A$6:$A$15,'Vendor Master'!$B$6:$B$15,""),"")</f>
        <v/>
      </c>
      <c r="J1958">
        <f>IF(A1958="","",TEXT(A1958,"mmm-yyyy"))</f>
        <v/>
      </c>
    </row>
    <row r="1959">
      <c r="D1959">
        <f>IFERROR(XLOOKUP(C1959,'Vendor Master'!$A$6:$A$15,'Vendor Master'!$B$6:$B$15,""),"")</f>
        <v/>
      </c>
      <c r="J1959">
        <f>IF(A1959="","",TEXT(A1959,"mmm-yyyy"))</f>
        <v/>
      </c>
    </row>
    <row r="1960">
      <c r="D1960">
        <f>IFERROR(XLOOKUP(C1960,'Vendor Master'!$A$6:$A$15,'Vendor Master'!$B$6:$B$15,""),"")</f>
        <v/>
      </c>
      <c r="J1960">
        <f>IF(A1960="","",TEXT(A1960,"mmm-yyyy"))</f>
        <v/>
      </c>
    </row>
    <row r="1961">
      <c r="D1961">
        <f>IFERROR(XLOOKUP(C1961,'Vendor Master'!$A$6:$A$15,'Vendor Master'!$B$6:$B$15,""),"")</f>
        <v/>
      </c>
      <c r="J1961">
        <f>IF(A1961="","",TEXT(A1961,"mmm-yyyy"))</f>
        <v/>
      </c>
    </row>
    <row r="1962">
      <c r="D1962">
        <f>IFERROR(XLOOKUP(C1962,'Vendor Master'!$A$6:$A$15,'Vendor Master'!$B$6:$B$15,""),"")</f>
        <v/>
      </c>
      <c r="J1962">
        <f>IF(A1962="","",TEXT(A1962,"mmm-yyyy"))</f>
        <v/>
      </c>
    </row>
    <row r="1963">
      <c r="D1963">
        <f>IFERROR(XLOOKUP(C1963,'Vendor Master'!$A$6:$A$15,'Vendor Master'!$B$6:$B$15,""),"")</f>
        <v/>
      </c>
      <c r="J1963">
        <f>IF(A1963="","",TEXT(A1963,"mmm-yyyy"))</f>
        <v/>
      </c>
    </row>
    <row r="1964">
      <c r="D1964">
        <f>IFERROR(XLOOKUP(C1964,'Vendor Master'!$A$6:$A$15,'Vendor Master'!$B$6:$B$15,""),"")</f>
        <v/>
      </c>
      <c r="J1964">
        <f>IF(A1964="","",TEXT(A1964,"mmm-yyyy"))</f>
        <v/>
      </c>
    </row>
    <row r="1965">
      <c r="D1965">
        <f>IFERROR(XLOOKUP(C1965,'Vendor Master'!$A$6:$A$15,'Vendor Master'!$B$6:$B$15,""),"")</f>
        <v/>
      </c>
      <c r="J1965">
        <f>IF(A1965="","",TEXT(A1965,"mmm-yyyy"))</f>
        <v/>
      </c>
    </row>
    <row r="1966">
      <c r="D1966">
        <f>IFERROR(XLOOKUP(C1966,'Vendor Master'!$A$6:$A$15,'Vendor Master'!$B$6:$B$15,""),"")</f>
        <v/>
      </c>
      <c r="J1966">
        <f>IF(A1966="","",TEXT(A1966,"mmm-yyyy"))</f>
        <v/>
      </c>
    </row>
    <row r="1967">
      <c r="D1967">
        <f>IFERROR(XLOOKUP(C1967,'Vendor Master'!$A$6:$A$15,'Vendor Master'!$B$6:$B$15,""),"")</f>
        <v/>
      </c>
      <c r="J1967">
        <f>IF(A1967="","",TEXT(A1967,"mmm-yyyy"))</f>
        <v/>
      </c>
    </row>
    <row r="1968">
      <c r="D1968">
        <f>IFERROR(XLOOKUP(C1968,'Vendor Master'!$A$6:$A$15,'Vendor Master'!$B$6:$B$15,""),"")</f>
        <v/>
      </c>
      <c r="J1968">
        <f>IF(A1968="","",TEXT(A1968,"mmm-yyyy"))</f>
        <v/>
      </c>
    </row>
    <row r="1969">
      <c r="D1969">
        <f>IFERROR(XLOOKUP(C1969,'Vendor Master'!$A$6:$A$15,'Vendor Master'!$B$6:$B$15,""),"")</f>
        <v/>
      </c>
      <c r="J1969">
        <f>IF(A1969="","",TEXT(A1969,"mmm-yyyy"))</f>
        <v/>
      </c>
    </row>
    <row r="1970">
      <c r="D1970">
        <f>IFERROR(XLOOKUP(C1970,'Vendor Master'!$A$6:$A$15,'Vendor Master'!$B$6:$B$15,""),"")</f>
        <v/>
      </c>
      <c r="J1970">
        <f>IF(A1970="","",TEXT(A1970,"mmm-yyyy"))</f>
        <v/>
      </c>
    </row>
    <row r="1971">
      <c r="D1971">
        <f>IFERROR(XLOOKUP(C1971,'Vendor Master'!$A$6:$A$15,'Vendor Master'!$B$6:$B$15,""),"")</f>
        <v/>
      </c>
      <c r="J1971">
        <f>IF(A1971="","",TEXT(A1971,"mmm-yyyy"))</f>
        <v/>
      </c>
    </row>
    <row r="1972">
      <c r="D1972">
        <f>IFERROR(XLOOKUP(C1972,'Vendor Master'!$A$6:$A$15,'Vendor Master'!$B$6:$B$15,""),"")</f>
        <v/>
      </c>
      <c r="J1972">
        <f>IF(A1972="","",TEXT(A1972,"mmm-yyyy"))</f>
        <v/>
      </c>
    </row>
    <row r="1973">
      <c r="D1973">
        <f>IFERROR(XLOOKUP(C1973,'Vendor Master'!$A$6:$A$15,'Vendor Master'!$B$6:$B$15,""),"")</f>
        <v/>
      </c>
      <c r="J1973">
        <f>IF(A1973="","",TEXT(A1973,"mmm-yyyy"))</f>
        <v/>
      </c>
    </row>
    <row r="1974">
      <c r="D1974">
        <f>IFERROR(XLOOKUP(C1974,'Vendor Master'!$A$6:$A$15,'Vendor Master'!$B$6:$B$15,""),"")</f>
        <v/>
      </c>
      <c r="J1974">
        <f>IF(A1974="","",TEXT(A1974,"mmm-yyyy"))</f>
        <v/>
      </c>
    </row>
    <row r="1975">
      <c r="D1975">
        <f>IFERROR(XLOOKUP(C1975,'Vendor Master'!$A$6:$A$15,'Vendor Master'!$B$6:$B$15,""),"")</f>
        <v/>
      </c>
      <c r="J1975">
        <f>IF(A1975="","",TEXT(A1975,"mmm-yyyy"))</f>
        <v/>
      </c>
    </row>
    <row r="1976">
      <c r="D1976">
        <f>IFERROR(XLOOKUP(C1976,'Vendor Master'!$A$6:$A$15,'Vendor Master'!$B$6:$B$15,""),"")</f>
        <v/>
      </c>
      <c r="J1976">
        <f>IF(A1976="","",TEXT(A1976,"mmm-yyyy"))</f>
        <v/>
      </c>
    </row>
    <row r="1977">
      <c r="D1977">
        <f>IFERROR(XLOOKUP(C1977,'Vendor Master'!$A$6:$A$15,'Vendor Master'!$B$6:$B$15,""),"")</f>
        <v/>
      </c>
      <c r="J1977">
        <f>IF(A1977="","",TEXT(A1977,"mmm-yyyy"))</f>
        <v/>
      </c>
    </row>
    <row r="1978">
      <c r="D1978">
        <f>IFERROR(XLOOKUP(C1978,'Vendor Master'!$A$6:$A$15,'Vendor Master'!$B$6:$B$15,""),"")</f>
        <v/>
      </c>
      <c r="J1978">
        <f>IF(A1978="","",TEXT(A1978,"mmm-yyyy"))</f>
        <v/>
      </c>
    </row>
    <row r="1979">
      <c r="D1979">
        <f>IFERROR(XLOOKUP(C1979,'Vendor Master'!$A$6:$A$15,'Vendor Master'!$B$6:$B$15,""),"")</f>
        <v/>
      </c>
      <c r="J1979">
        <f>IF(A1979="","",TEXT(A1979,"mmm-yyyy"))</f>
        <v/>
      </c>
    </row>
    <row r="1980">
      <c r="D1980">
        <f>IFERROR(XLOOKUP(C1980,'Vendor Master'!$A$6:$A$15,'Vendor Master'!$B$6:$B$15,""),"")</f>
        <v/>
      </c>
      <c r="J1980">
        <f>IF(A1980="","",TEXT(A1980,"mmm-yyyy"))</f>
        <v/>
      </c>
    </row>
    <row r="1981">
      <c r="D1981">
        <f>IFERROR(XLOOKUP(C1981,'Vendor Master'!$A$6:$A$15,'Vendor Master'!$B$6:$B$15,""),"")</f>
        <v/>
      </c>
      <c r="J1981">
        <f>IF(A1981="","",TEXT(A1981,"mmm-yyyy"))</f>
        <v/>
      </c>
    </row>
    <row r="1982">
      <c r="D1982">
        <f>IFERROR(XLOOKUP(C1982,'Vendor Master'!$A$6:$A$15,'Vendor Master'!$B$6:$B$15,""),"")</f>
        <v/>
      </c>
      <c r="J1982">
        <f>IF(A1982="","",TEXT(A1982,"mmm-yyyy"))</f>
        <v/>
      </c>
    </row>
    <row r="1983">
      <c r="D1983">
        <f>IFERROR(XLOOKUP(C1983,'Vendor Master'!$A$6:$A$15,'Vendor Master'!$B$6:$B$15,""),"")</f>
        <v/>
      </c>
      <c r="J1983">
        <f>IF(A1983="","",TEXT(A1983,"mmm-yyyy"))</f>
        <v/>
      </c>
    </row>
    <row r="1984">
      <c r="D1984">
        <f>IFERROR(XLOOKUP(C1984,'Vendor Master'!$A$6:$A$15,'Vendor Master'!$B$6:$B$15,""),"")</f>
        <v/>
      </c>
      <c r="J1984">
        <f>IF(A1984="","",TEXT(A1984,"mmm-yyyy"))</f>
        <v/>
      </c>
    </row>
    <row r="1985">
      <c r="D1985">
        <f>IFERROR(XLOOKUP(C1985,'Vendor Master'!$A$6:$A$15,'Vendor Master'!$B$6:$B$15,""),"")</f>
        <v/>
      </c>
      <c r="J1985">
        <f>IF(A1985="","",TEXT(A1985,"mmm-yyyy"))</f>
        <v/>
      </c>
    </row>
    <row r="1986">
      <c r="D1986">
        <f>IFERROR(XLOOKUP(C1986,'Vendor Master'!$A$6:$A$15,'Vendor Master'!$B$6:$B$15,""),"")</f>
        <v/>
      </c>
      <c r="J1986">
        <f>IF(A1986="","",TEXT(A1986,"mmm-yyyy"))</f>
        <v/>
      </c>
    </row>
    <row r="1987">
      <c r="D1987">
        <f>IFERROR(XLOOKUP(C1987,'Vendor Master'!$A$6:$A$15,'Vendor Master'!$B$6:$B$15,""),"")</f>
        <v/>
      </c>
      <c r="J1987">
        <f>IF(A1987="","",TEXT(A1987,"mmm-yyyy"))</f>
        <v/>
      </c>
    </row>
    <row r="1988">
      <c r="D1988">
        <f>IFERROR(XLOOKUP(C1988,'Vendor Master'!$A$6:$A$15,'Vendor Master'!$B$6:$B$15,""),"")</f>
        <v/>
      </c>
      <c r="J1988">
        <f>IF(A1988="","",TEXT(A1988,"mmm-yyyy"))</f>
        <v/>
      </c>
    </row>
    <row r="1989">
      <c r="D1989">
        <f>IFERROR(XLOOKUP(C1989,'Vendor Master'!$A$6:$A$15,'Vendor Master'!$B$6:$B$15,""),"")</f>
        <v/>
      </c>
      <c r="J1989">
        <f>IF(A1989="","",TEXT(A1989,"mmm-yyyy"))</f>
        <v/>
      </c>
    </row>
    <row r="1990">
      <c r="D1990">
        <f>IFERROR(XLOOKUP(C1990,'Vendor Master'!$A$6:$A$15,'Vendor Master'!$B$6:$B$15,""),"")</f>
        <v/>
      </c>
      <c r="J1990">
        <f>IF(A1990="","",TEXT(A1990,"mmm-yyyy"))</f>
        <v/>
      </c>
    </row>
    <row r="1991">
      <c r="D1991">
        <f>IFERROR(XLOOKUP(C1991,'Vendor Master'!$A$6:$A$15,'Vendor Master'!$B$6:$B$15,""),"")</f>
        <v/>
      </c>
      <c r="J1991">
        <f>IF(A1991="","",TEXT(A1991,"mmm-yyyy"))</f>
        <v/>
      </c>
    </row>
    <row r="1992">
      <c r="D1992">
        <f>IFERROR(XLOOKUP(C1992,'Vendor Master'!$A$6:$A$15,'Vendor Master'!$B$6:$B$15,""),"")</f>
        <v/>
      </c>
      <c r="J1992">
        <f>IF(A1992="","",TEXT(A1992,"mmm-yyyy"))</f>
        <v/>
      </c>
    </row>
    <row r="1993">
      <c r="D1993">
        <f>IFERROR(XLOOKUP(C1993,'Vendor Master'!$A$6:$A$15,'Vendor Master'!$B$6:$B$15,""),"")</f>
        <v/>
      </c>
      <c r="J1993">
        <f>IF(A1993="","",TEXT(A1993,"mmm-yyyy"))</f>
        <v/>
      </c>
    </row>
    <row r="1994">
      <c r="D1994">
        <f>IFERROR(XLOOKUP(C1994,'Vendor Master'!$A$6:$A$15,'Vendor Master'!$B$6:$B$15,""),"")</f>
        <v/>
      </c>
      <c r="J1994">
        <f>IF(A1994="","",TEXT(A1994,"mmm-yyyy"))</f>
        <v/>
      </c>
    </row>
    <row r="1995">
      <c r="D1995">
        <f>IFERROR(XLOOKUP(C1995,'Vendor Master'!$A$6:$A$15,'Vendor Master'!$B$6:$B$15,""),"")</f>
        <v/>
      </c>
      <c r="J1995">
        <f>IF(A1995="","",TEXT(A1995,"mmm-yyyy"))</f>
        <v/>
      </c>
    </row>
    <row r="1996">
      <c r="D1996">
        <f>IFERROR(XLOOKUP(C1996,'Vendor Master'!$A$6:$A$15,'Vendor Master'!$B$6:$B$15,""),"")</f>
        <v/>
      </c>
      <c r="J1996">
        <f>IF(A1996="","",TEXT(A1996,"mmm-yyyy"))</f>
        <v/>
      </c>
    </row>
    <row r="1997">
      <c r="D1997">
        <f>IFERROR(XLOOKUP(C1997,'Vendor Master'!$A$6:$A$15,'Vendor Master'!$B$6:$B$15,""),"")</f>
        <v/>
      </c>
      <c r="J1997">
        <f>IF(A1997="","",TEXT(A1997,"mmm-yyyy"))</f>
        <v/>
      </c>
    </row>
    <row r="1998">
      <c r="D1998">
        <f>IFERROR(XLOOKUP(C1998,'Vendor Master'!$A$6:$A$15,'Vendor Master'!$B$6:$B$15,""),"")</f>
        <v/>
      </c>
      <c r="J1998">
        <f>IF(A1998="","",TEXT(A1998,"mmm-yyyy"))</f>
        <v/>
      </c>
    </row>
    <row r="1999">
      <c r="D1999">
        <f>IFERROR(XLOOKUP(C1999,'Vendor Master'!$A$6:$A$15,'Vendor Master'!$B$6:$B$15,""),"")</f>
        <v/>
      </c>
      <c r="J1999">
        <f>IF(A1999="","",TEXT(A1999,"mmm-yyyy"))</f>
        <v/>
      </c>
    </row>
    <row r="2000">
      <c r="D2000">
        <f>IFERROR(XLOOKUP(C2000,'Vendor Master'!$A$6:$A$15,'Vendor Master'!$B$6:$B$15,""),"")</f>
        <v/>
      </c>
      <c r="J2000">
        <f>IF(A2000="","",TEXT(A2000,"mmm-yyyy"))</f>
        <v/>
      </c>
    </row>
    <row r="2001">
      <c r="D2001">
        <f>IFERROR(XLOOKUP(C2001,'Vendor Master'!$A$6:$A$15,'Vendor Master'!$B$6:$B$15,""),"")</f>
        <v/>
      </c>
      <c r="J2001">
        <f>IF(A2001="","",TEXT(A2001,"mmm-yyyy"))</f>
        <v/>
      </c>
    </row>
    <row r="2002">
      <c r="D2002">
        <f>IFERROR(XLOOKUP(C2002,'Vendor Master'!$A$6:$A$15,'Vendor Master'!$B$6:$B$15,""),"")</f>
        <v/>
      </c>
      <c r="J2002">
        <f>IF(A2002="","",TEXT(A2002,"mmm-yyyy"))</f>
        <v/>
      </c>
    </row>
    <row r="2003">
      <c r="D2003">
        <f>IFERROR(XLOOKUP(C2003,'Vendor Master'!$A$6:$A$15,'Vendor Master'!$B$6:$B$15,""),"")</f>
        <v/>
      </c>
      <c r="J2003">
        <f>IF(A2003="","",TEXT(A2003,"mmm-yyyy"))</f>
        <v/>
      </c>
    </row>
    <row r="2004">
      <c r="D2004">
        <f>IFERROR(XLOOKUP(C2004,'Vendor Master'!$A$6:$A$15,'Vendor Master'!$B$6:$B$15,""),"")</f>
        <v/>
      </c>
      <c r="J2004">
        <f>IF(A2004="","",TEXT(A2004,"mmm-yyyy"))</f>
        <v/>
      </c>
    </row>
    <row r="2005">
      <c r="D2005">
        <f>IFERROR(XLOOKUP(C2005,'Vendor Master'!$A$6:$A$15,'Vendor Master'!$B$6:$B$15,""),"")</f>
        <v/>
      </c>
      <c r="J2005">
        <f>IF(A2005="","",TEXT(A2005,"mmm-yyyy"))</f>
        <v/>
      </c>
    </row>
    <row r="2006">
      <c r="D2006">
        <f>IFERROR(XLOOKUP(C2006,'Vendor Master'!$A$6:$A$15,'Vendor Master'!$B$6:$B$15,""),"")</f>
        <v/>
      </c>
      <c r="J2006">
        <f>IF(A2006="","",TEXT(A2006,"mmm-yyyy"))</f>
        <v/>
      </c>
    </row>
    <row r="2007">
      <c r="D2007">
        <f>IFERROR(XLOOKUP(C2007,'Vendor Master'!$A$6:$A$15,'Vendor Master'!$B$6:$B$15,""),"")</f>
        <v/>
      </c>
      <c r="J2007">
        <f>IF(A2007="","",TEXT(A2007,"mmm-yyyy"))</f>
        <v/>
      </c>
    </row>
    <row r="2008">
      <c r="D2008">
        <f>IFERROR(XLOOKUP(C2008,'Vendor Master'!$A$6:$A$15,'Vendor Master'!$B$6:$B$15,""),"")</f>
        <v/>
      </c>
      <c r="J2008">
        <f>IF(A2008="","",TEXT(A2008,"mmm-yyyy"))</f>
        <v/>
      </c>
    </row>
    <row r="2009">
      <c r="D2009">
        <f>IFERROR(XLOOKUP(C2009,'Vendor Master'!$A$6:$A$15,'Vendor Master'!$B$6:$B$15,""),"")</f>
        <v/>
      </c>
      <c r="J2009">
        <f>IF(A2009="","",TEXT(A2009,"mmm-yyyy"))</f>
        <v/>
      </c>
    </row>
    <row r="2010">
      <c r="D2010">
        <f>IFERROR(XLOOKUP(C2010,'Vendor Master'!$A$6:$A$15,'Vendor Master'!$B$6:$B$15,""),"")</f>
        <v/>
      </c>
      <c r="J2010">
        <f>IF(A2010="","",TEXT(A2010,"mmm-yyyy"))</f>
        <v/>
      </c>
    </row>
    <row r="2011">
      <c r="D2011">
        <f>IFERROR(XLOOKUP(C2011,'Vendor Master'!$A$6:$A$15,'Vendor Master'!$B$6:$B$15,""),"")</f>
        <v/>
      </c>
      <c r="J2011">
        <f>IF(A2011="","",TEXT(A2011,"mmm-yyyy"))</f>
        <v/>
      </c>
    </row>
    <row r="2012">
      <c r="D2012">
        <f>IFERROR(XLOOKUP(C2012,'Vendor Master'!$A$6:$A$15,'Vendor Master'!$B$6:$B$15,""),"")</f>
        <v/>
      </c>
      <c r="J2012">
        <f>IF(A2012="","",TEXT(A2012,"mmm-yyyy"))</f>
        <v/>
      </c>
    </row>
    <row r="2013">
      <c r="D2013">
        <f>IFERROR(XLOOKUP(C2013,'Vendor Master'!$A$6:$A$15,'Vendor Master'!$B$6:$B$15,""),"")</f>
        <v/>
      </c>
      <c r="J2013">
        <f>IF(A2013="","",TEXT(A2013,"mmm-yyyy"))</f>
        <v/>
      </c>
    </row>
    <row r="2014">
      <c r="D2014">
        <f>IFERROR(XLOOKUP(C2014,'Vendor Master'!$A$6:$A$15,'Vendor Master'!$B$6:$B$15,""),"")</f>
        <v/>
      </c>
      <c r="J2014">
        <f>IF(A2014="","",TEXT(A2014,"mmm-yyyy"))</f>
        <v/>
      </c>
    </row>
    <row r="2015">
      <c r="D2015">
        <f>IFERROR(XLOOKUP(C2015,'Vendor Master'!$A$6:$A$15,'Vendor Master'!$B$6:$B$15,""),"")</f>
        <v/>
      </c>
      <c r="J2015">
        <f>IF(A2015="","",TEXT(A2015,"mmm-yyyy"))</f>
        <v/>
      </c>
    </row>
    <row r="2016">
      <c r="D2016">
        <f>IFERROR(XLOOKUP(C2016,'Vendor Master'!$A$6:$A$15,'Vendor Master'!$B$6:$B$15,""),"")</f>
        <v/>
      </c>
      <c r="J2016">
        <f>IF(A2016="","",TEXT(A2016,"mmm-yyyy"))</f>
        <v/>
      </c>
    </row>
    <row r="2017">
      <c r="D2017">
        <f>IFERROR(XLOOKUP(C2017,'Vendor Master'!$A$6:$A$15,'Vendor Master'!$B$6:$B$15,""),"")</f>
        <v/>
      </c>
      <c r="J2017">
        <f>IF(A2017="","",TEXT(A2017,"mmm-yyyy"))</f>
        <v/>
      </c>
    </row>
    <row r="2018">
      <c r="D2018">
        <f>IFERROR(XLOOKUP(C2018,'Vendor Master'!$A$6:$A$15,'Vendor Master'!$B$6:$B$15,""),"")</f>
        <v/>
      </c>
      <c r="J2018">
        <f>IF(A2018="","",TEXT(A2018,"mmm-yyyy"))</f>
        <v/>
      </c>
    </row>
    <row r="2019">
      <c r="D2019">
        <f>IFERROR(XLOOKUP(C2019,'Vendor Master'!$A$6:$A$15,'Vendor Master'!$B$6:$B$15,""),"")</f>
        <v/>
      </c>
      <c r="J2019">
        <f>IF(A2019="","",TEXT(A2019,"mmm-yyyy"))</f>
        <v/>
      </c>
    </row>
    <row r="2020">
      <c r="D2020">
        <f>IFERROR(XLOOKUP(C2020,'Vendor Master'!$A$6:$A$15,'Vendor Master'!$B$6:$B$15,""),"")</f>
        <v/>
      </c>
      <c r="J2020">
        <f>IF(A2020="","",TEXT(A2020,"mmm-yyyy"))</f>
        <v/>
      </c>
    </row>
    <row r="2021">
      <c r="D2021">
        <f>IFERROR(XLOOKUP(C2021,'Vendor Master'!$A$6:$A$15,'Vendor Master'!$B$6:$B$15,""),"")</f>
        <v/>
      </c>
      <c r="J2021">
        <f>IF(A2021="","",TEXT(A2021,"mmm-yyyy"))</f>
        <v/>
      </c>
    </row>
    <row r="2022">
      <c r="D2022">
        <f>IFERROR(XLOOKUP(C2022,'Vendor Master'!$A$6:$A$15,'Vendor Master'!$B$6:$B$15,""),"")</f>
        <v/>
      </c>
      <c r="J2022">
        <f>IF(A2022="","",TEXT(A2022,"mmm-yyyy"))</f>
        <v/>
      </c>
    </row>
    <row r="2023">
      <c r="D2023">
        <f>IFERROR(XLOOKUP(C2023,'Vendor Master'!$A$6:$A$15,'Vendor Master'!$B$6:$B$15,""),"")</f>
        <v/>
      </c>
      <c r="J2023">
        <f>IF(A2023="","",TEXT(A2023,"mmm-yyyy"))</f>
        <v/>
      </c>
    </row>
    <row r="2024">
      <c r="D2024">
        <f>IFERROR(XLOOKUP(C2024,'Vendor Master'!$A$6:$A$15,'Vendor Master'!$B$6:$B$15,""),"")</f>
        <v/>
      </c>
      <c r="J2024">
        <f>IF(A2024="","",TEXT(A2024,"mmm-yyyy"))</f>
        <v/>
      </c>
    </row>
    <row r="2025">
      <c r="D2025">
        <f>IFERROR(XLOOKUP(C2025,'Vendor Master'!$A$6:$A$15,'Vendor Master'!$B$6:$B$15,""),"")</f>
        <v/>
      </c>
      <c r="J2025">
        <f>IF(A2025="","",TEXT(A2025,"mmm-yyyy"))</f>
        <v/>
      </c>
    </row>
    <row r="2026">
      <c r="D2026">
        <f>IFERROR(XLOOKUP(C2026,'Vendor Master'!$A$6:$A$15,'Vendor Master'!$B$6:$B$15,""),"")</f>
        <v/>
      </c>
      <c r="J2026">
        <f>IF(A2026="","",TEXT(A2026,"mmm-yyyy"))</f>
        <v/>
      </c>
    </row>
    <row r="2027">
      <c r="D2027">
        <f>IFERROR(XLOOKUP(C2027,'Vendor Master'!$A$6:$A$15,'Vendor Master'!$B$6:$B$15,""),"")</f>
        <v/>
      </c>
      <c r="J2027">
        <f>IF(A2027="","",TEXT(A2027,"mmm-yyyy"))</f>
        <v/>
      </c>
    </row>
    <row r="2028">
      <c r="D2028">
        <f>IFERROR(XLOOKUP(C2028,'Vendor Master'!$A$6:$A$15,'Vendor Master'!$B$6:$B$15,""),"")</f>
        <v/>
      </c>
      <c r="J2028">
        <f>IF(A2028="","",TEXT(A2028,"mmm-yyyy"))</f>
        <v/>
      </c>
    </row>
    <row r="2029">
      <c r="D2029">
        <f>IFERROR(XLOOKUP(C2029,'Vendor Master'!$A$6:$A$15,'Vendor Master'!$B$6:$B$15,""),"")</f>
        <v/>
      </c>
      <c r="J2029">
        <f>IF(A2029="","",TEXT(A2029,"mmm-yyyy"))</f>
        <v/>
      </c>
    </row>
    <row r="2030">
      <c r="D2030">
        <f>IFERROR(XLOOKUP(C2030,'Vendor Master'!$A$6:$A$15,'Vendor Master'!$B$6:$B$15,""),"")</f>
        <v/>
      </c>
      <c r="J2030">
        <f>IF(A2030="","",TEXT(A2030,"mmm-yyyy"))</f>
        <v/>
      </c>
    </row>
    <row r="2031">
      <c r="D2031">
        <f>IFERROR(XLOOKUP(C2031,'Vendor Master'!$A$6:$A$15,'Vendor Master'!$B$6:$B$15,""),"")</f>
        <v/>
      </c>
      <c r="J2031">
        <f>IF(A2031="","",TEXT(A2031,"mmm-yyyy"))</f>
        <v/>
      </c>
    </row>
    <row r="2032">
      <c r="D2032">
        <f>IFERROR(XLOOKUP(C2032,'Vendor Master'!$A$6:$A$15,'Vendor Master'!$B$6:$B$15,""),"")</f>
        <v/>
      </c>
      <c r="J2032">
        <f>IF(A2032="","",TEXT(A2032,"mmm-yyyy"))</f>
        <v/>
      </c>
    </row>
    <row r="2033">
      <c r="D2033">
        <f>IFERROR(XLOOKUP(C2033,'Vendor Master'!$A$6:$A$15,'Vendor Master'!$B$6:$B$15,""),"")</f>
        <v/>
      </c>
      <c r="J2033">
        <f>IF(A2033="","",TEXT(A2033,"mmm-yyyy"))</f>
        <v/>
      </c>
    </row>
    <row r="2034">
      <c r="D2034">
        <f>IFERROR(XLOOKUP(C2034,'Vendor Master'!$A$6:$A$15,'Vendor Master'!$B$6:$B$15,""),"")</f>
        <v/>
      </c>
      <c r="J2034">
        <f>IF(A2034="","",TEXT(A2034,"mmm-yyyy"))</f>
        <v/>
      </c>
    </row>
    <row r="2035">
      <c r="D2035">
        <f>IFERROR(XLOOKUP(C2035,'Vendor Master'!$A$6:$A$15,'Vendor Master'!$B$6:$B$15,""),"")</f>
        <v/>
      </c>
      <c r="J2035">
        <f>IF(A2035="","",TEXT(A2035,"mmm-yyyy"))</f>
        <v/>
      </c>
    </row>
    <row r="2036">
      <c r="D2036">
        <f>IFERROR(XLOOKUP(C2036,'Vendor Master'!$A$6:$A$15,'Vendor Master'!$B$6:$B$15,""),"")</f>
        <v/>
      </c>
      <c r="J2036">
        <f>IF(A2036="","",TEXT(A2036,"mmm-yyyy"))</f>
        <v/>
      </c>
    </row>
    <row r="2037">
      <c r="D2037">
        <f>IFERROR(XLOOKUP(C2037,'Vendor Master'!$A$6:$A$15,'Vendor Master'!$B$6:$B$15,""),"")</f>
        <v/>
      </c>
      <c r="J2037">
        <f>IF(A2037="","",TEXT(A2037,"mmm-yyyy"))</f>
        <v/>
      </c>
    </row>
    <row r="2038">
      <c r="D2038">
        <f>IFERROR(XLOOKUP(C2038,'Vendor Master'!$A$6:$A$15,'Vendor Master'!$B$6:$B$15,""),"")</f>
        <v/>
      </c>
      <c r="J2038">
        <f>IF(A2038="","",TEXT(A2038,"mmm-yyyy"))</f>
        <v/>
      </c>
    </row>
    <row r="2039">
      <c r="D2039">
        <f>IFERROR(XLOOKUP(C2039,'Vendor Master'!$A$6:$A$15,'Vendor Master'!$B$6:$B$15,""),"")</f>
        <v/>
      </c>
      <c r="J2039">
        <f>IF(A2039="","",TEXT(A2039,"mmm-yyyy"))</f>
        <v/>
      </c>
    </row>
    <row r="2040">
      <c r="D2040">
        <f>IFERROR(XLOOKUP(C2040,'Vendor Master'!$A$6:$A$15,'Vendor Master'!$B$6:$B$15,""),"")</f>
        <v/>
      </c>
      <c r="J2040">
        <f>IF(A2040="","",TEXT(A2040,"mmm-yyyy"))</f>
        <v/>
      </c>
    </row>
    <row r="2041">
      <c r="D2041">
        <f>IFERROR(XLOOKUP(C2041,'Vendor Master'!$A$6:$A$15,'Vendor Master'!$B$6:$B$15,""),"")</f>
        <v/>
      </c>
      <c r="J2041">
        <f>IF(A2041="","",TEXT(A2041,"mmm-yyyy"))</f>
        <v/>
      </c>
    </row>
    <row r="2042">
      <c r="D2042">
        <f>IFERROR(XLOOKUP(C2042,'Vendor Master'!$A$6:$A$15,'Vendor Master'!$B$6:$B$15,""),"")</f>
        <v/>
      </c>
      <c r="J2042">
        <f>IF(A2042="","",TEXT(A2042,"mmm-yyyy"))</f>
        <v/>
      </c>
    </row>
    <row r="2043">
      <c r="D2043">
        <f>IFERROR(XLOOKUP(C2043,'Vendor Master'!$A$6:$A$15,'Vendor Master'!$B$6:$B$15,""),"")</f>
        <v/>
      </c>
      <c r="J2043">
        <f>IF(A2043="","",TEXT(A2043,"mmm-yyyy"))</f>
        <v/>
      </c>
    </row>
    <row r="2044">
      <c r="D2044">
        <f>IFERROR(XLOOKUP(C2044,'Vendor Master'!$A$6:$A$15,'Vendor Master'!$B$6:$B$15,""),"")</f>
        <v/>
      </c>
      <c r="J2044">
        <f>IF(A2044="","",TEXT(A2044,"mmm-yyyy"))</f>
        <v/>
      </c>
    </row>
    <row r="2045">
      <c r="D2045">
        <f>IFERROR(XLOOKUP(C2045,'Vendor Master'!$A$6:$A$15,'Vendor Master'!$B$6:$B$15,""),"")</f>
        <v/>
      </c>
      <c r="J2045">
        <f>IF(A2045="","",TEXT(A2045,"mmm-yyyy"))</f>
        <v/>
      </c>
    </row>
    <row r="2046">
      <c r="D2046">
        <f>IFERROR(XLOOKUP(C2046,'Vendor Master'!$A$6:$A$15,'Vendor Master'!$B$6:$B$15,""),"")</f>
        <v/>
      </c>
      <c r="J2046">
        <f>IF(A2046="","",TEXT(A2046,"mmm-yyyy"))</f>
        <v/>
      </c>
    </row>
    <row r="2047">
      <c r="D2047">
        <f>IFERROR(XLOOKUP(C2047,'Vendor Master'!$A$6:$A$15,'Vendor Master'!$B$6:$B$15,""),"")</f>
        <v/>
      </c>
      <c r="J2047">
        <f>IF(A2047="","",TEXT(A2047,"mmm-yyyy"))</f>
        <v/>
      </c>
    </row>
    <row r="2048">
      <c r="D2048">
        <f>IFERROR(XLOOKUP(C2048,'Vendor Master'!$A$6:$A$15,'Vendor Master'!$B$6:$B$15,""),"")</f>
        <v/>
      </c>
      <c r="J2048">
        <f>IF(A2048="","",TEXT(A2048,"mmm-yyyy"))</f>
        <v/>
      </c>
    </row>
    <row r="2049">
      <c r="D2049">
        <f>IFERROR(XLOOKUP(C2049,'Vendor Master'!$A$6:$A$15,'Vendor Master'!$B$6:$B$15,""),"")</f>
        <v/>
      </c>
      <c r="J2049">
        <f>IF(A2049="","",TEXT(A2049,"mmm-yyyy"))</f>
        <v/>
      </c>
    </row>
    <row r="2050">
      <c r="D2050">
        <f>IFERROR(XLOOKUP(C2050,'Vendor Master'!$A$6:$A$15,'Vendor Master'!$B$6:$B$15,""),"")</f>
        <v/>
      </c>
      <c r="J2050">
        <f>IF(A2050="","",TEXT(A2050,"mmm-yyyy"))</f>
        <v/>
      </c>
    </row>
    <row r="2051">
      <c r="D2051">
        <f>IFERROR(XLOOKUP(C2051,'Vendor Master'!$A$6:$A$15,'Vendor Master'!$B$6:$B$15,""),"")</f>
        <v/>
      </c>
      <c r="J2051">
        <f>IF(A2051="","",TEXT(A2051,"mmm-yyyy"))</f>
        <v/>
      </c>
    </row>
    <row r="2052">
      <c r="D2052">
        <f>IFERROR(XLOOKUP(C2052,'Vendor Master'!$A$6:$A$15,'Vendor Master'!$B$6:$B$15,""),"")</f>
        <v/>
      </c>
      <c r="J2052">
        <f>IF(A2052="","",TEXT(A2052,"mmm-yyyy"))</f>
        <v/>
      </c>
    </row>
    <row r="2053">
      <c r="D2053">
        <f>IFERROR(XLOOKUP(C2053,'Vendor Master'!$A$6:$A$15,'Vendor Master'!$B$6:$B$15,""),"")</f>
        <v/>
      </c>
      <c r="J2053">
        <f>IF(A2053="","",TEXT(A2053,"mmm-yyyy"))</f>
        <v/>
      </c>
    </row>
    <row r="2054">
      <c r="D2054">
        <f>IFERROR(XLOOKUP(C2054,'Vendor Master'!$A$6:$A$15,'Vendor Master'!$B$6:$B$15,""),"")</f>
        <v/>
      </c>
      <c r="J2054">
        <f>IF(A2054="","",TEXT(A2054,"mmm-yyyy"))</f>
        <v/>
      </c>
    </row>
    <row r="2055">
      <c r="D2055">
        <f>IFERROR(XLOOKUP(C2055,'Vendor Master'!$A$6:$A$15,'Vendor Master'!$B$6:$B$15,""),"")</f>
        <v/>
      </c>
      <c r="J2055">
        <f>IF(A2055="","",TEXT(A2055,"mmm-yyyy"))</f>
        <v/>
      </c>
    </row>
    <row r="2056">
      <c r="D2056">
        <f>IFERROR(XLOOKUP(C2056,'Vendor Master'!$A$6:$A$15,'Vendor Master'!$B$6:$B$15,""),"")</f>
        <v/>
      </c>
      <c r="J2056">
        <f>IF(A2056="","",TEXT(A2056,"mmm-yyyy"))</f>
        <v/>
      </c>
    </row>
    <row r="2057">
      <c r="D2057">
        <f>IFERROR(XLOOKUP(C2057,'Vendor Master'!$A$6:$A$15,'Vendor Master'!$B$6:$B$15,""),"")</f>
        <v/>
      </c>
      <c r="J2057">
        <f>IF(A2057="","",TEXT(A2057,"mmm-yyyy"))</f>
        <v/>
      </c>
    </row>
    <row r="2058">
      <c r="D2058">
        <f>IFERROR(XLOOKUP(C2058,'Vendor Master'!$A$6:$A$15,'Vendor Master'!$B$6:$B$15,""),"")</f>
        <v/>
      </c>
      <c r="J2058">
        <f>IF(A2058="","",TEXT(A2058,"mmm-yyyy"))</f>
        <v/>
      </c>
    </row>
    <row r="2059">
      <c r="D2059">
        <f>IFERROR(XLOOKUP(C2059,'Vendor Master'!$A$6:$A$15,'Vendor Master'!$B$6:$B$15,""),"")</f>
        <v/>
      </c>
      <c r="J2059">
        <f>IF(A2059="","",TEXT(A2059,"mmm-yyyy"))</f>
        <v/>
      </c>
    </row>
    <row r="2060">
      <c r="D2060">
        <f>IFERROR(XLOOKUP(C2060,'Vendor Master'!$A$6:$A$15,'Vendor Master'!$B$6:$B$15,""),"")</f>
        <v/>
      </c>
      <c r="J2060">
        <f>IF(A2060="","",TEXT(A2060,"mmm-yyyy"))</f>
        <v/>
      </c>
    </row>
    <row r="2061">
      <c r="D2061">
        <f>IFERROR(XLOOKUP(C2061,'Vendor Master'!$A$6:$A$15,'Vendor Master'!$B$6:$B$15,""),"")</f>
        <v/>
      </c>
      <c r="J2061">
        <f>IF(A2061="","",TEXT(A2061,"mmm-yyyy"))</f>
        <v/>
      </c>
    </row>
    <row r="2062">
      <c r="D2062">
        <f>IFERROR(XLOOKUP(C2062,'Vendor Master'!$A$6:$A$15,'Vendor Master'!$B$6:$B$15,""),"")</f>
        <v/>
      </c>
      <c r="J2062">
        <f>IF(A2062="","",TEXT(A2062,"mmm-yyyy"))</f>
        <v/>
      </c>
    </row>
    <row r="2063">
      <c r="D2063">
        <f>IFERROR(XLOOKUP(C2063,'Vendor Master'!$A$6:$A$15,'Vendor Master'!$B$6:$B$15,""),"")</f>
        <v/>
      </c>
      <c r="J2063">
        <f>IF(A2063="","",TEXT(A2063,"mmm-yyyy"))</f>
        <v/>
      </c>
    </row>
    <row r="2064">
      <c r="D2064">
        <f>IFERROR(XLOOKUP(C2064,'Vendor Master'!$A$6:$A$15,'Vendor Master'!$B$6:$B$15,""),"")</f>
        <v/>
      </c>
      <c r="J2064">
        <f>IF(A2064="","",TEXT(A2064,"mmm-yyyy"))</f>
        <v/>
      </c>
    </row>
    <row r="2065">
      <c r="D2065">
        <f>IFERROR(XLOOKUP(C2065,'Vendor Master'!$A$6:$A$15,'Vendor Master'!$B$6:$B$15,""),"")</f>
        <v/>
      </c>
      <c r="J2065">
        <f>IF(A2065="","",TEXT(A2065,"mmm-yyyy"))</f>
        <v/>
      </c>
    </row>
    <row r="2066">
      <c r="D2066">
        <f>IFERROR(XLOOKUP(C2066,'Vendor Master'!$A$6:$A$15,'Vendor Master'!$B$6:$B$15,""),"")</f>
        <v/>
      </c>
      <c r="J2066">
        <f>IF(A2066="","",TEXT(A2066,"mmm-yyyy"))</f>
        <v/>
      </c>
    </row>
    <row r="2067">
      <c r="D2067">
        <f>IFERROR(XLOOKUP(C2067,'Vendor Master'!$A$6:$A$15,'Vendor Master'!$B$6:$B$15,""),"")</f>
        <v/>
      </c>
      <c r="J2067">
        <f>IF(A2067="","",TEXT(A2067,"mmm-yyyy"))</f>
        <v/>
      </c>
    </row>
    <row r="2068">
      <c r="D2068">
        <f>IFERROR(XLOOKUP(C2068,'Vendor Master'!$A$6:$A$15,'Vendor Master'!$B$6:$B$15,""),"")</f>
        <v/>
      </c>
      <c r="J2068">
        <f>IF(A2068="","",TEXT(A2068,"mmm-yyyy"))</f>
        <v/>
      </c>
    </row>
    <row r="2069">
      <c r="D2069">
        <f>IFERROR(XLOOKUP(C2069,'Vendor Master'!$A$6:$A$15,'Vendor Master'!$B$6:$B$15,""),"")</f>
        <v/>
      </c>
      <c r="J2069">
        <f>IF(A2069="","",TEXT(A2069,"mmm-yyyy"))</f>
        <v/>
      </c>
    </row>
    <row r="2070">
      <c r="D2070">
        <f>IFERROR(XLOOKUP(C2070,'Vendor Master'!$A$6:$A$15,'Vendor Master'!$B$6:$B$15,""),"")</f>
        <v/>
      </c>
      <c r="J2070">
        <f>IF(A2070="","",TEXT(A2070,"mmm-yyyy"))</f>
        <v/>
      </c>
    </row>
    <row r="2071">
      <c r="D2071">
        <f>IFERROR(XLOOKUP(C2071,'Vendor Master'!$A$6:$A$15,'Vendor Master'!$B$6:$B$15,""),"")</f>
        <v/>
      </c>
      <c r="J2071">
        <f>IF(A2071="","",TEXT(A2071,"mmm-yyyy"))</f>
        <v/>
      </c>
    </row>
    <row r="2072">
      <c r="D2072">
        <f>IFERROR(XLOOKUP(C2072,'Vendor Master'!$A$6:$A$15,'Vendor Master'!$B$6:$B$15,""),"")</f>
        <v/>
      </c>
      <c r="J2072">
        <f>IF(A2072="","",TEXT(A2072,"mmm-yyyy"))</f>
        <v/>
      </c>
    </row>
    <row r="2073">
      <c r="D2073">
        <f>IFERROR(XLOOKUP(C2073,'Vendor Master'!$A$6:$A$15,'Vendor Master'!$B$6:$B$15,""),"")</f>
        <v/>
      </c>
      <c r="J2073">
        <f>IF(A2073="","",TEXT(A2073,"mmm-yyyy"))</f>
        <v/>
      </c>
    </row>
    <row r="2074">
      <c r="D2074">
        <f>IFERROR(XLOOKUP(C2074,'Vendor Master'!$A$6:$A$15,'Vendor Master'!$B$6:$B$15,""),"")</f>
        <v/>
      </c>
      <c r="J2074">
        <f>IF(A2074="","",TEXT(A2074,"mmm-yyyy"))</f>
        <v/>
      </c>
    </row>
    <row r="2075">
      <c r="D2075">
        <f>IFERROR(XLOOKUP(C2075,'Vendor Master'!$A$6:$A$15,'Vendor Master'!$B$6:$B$15,""),"")</f>
        <v/>
      </c>
      <c r="J2075">
        <f>IF(A2075="","",TEXT(A2075,"mmm-yyyy"))</f>
        <v/>
      </c>
    </row>
    <row r="2076">
      <c r="D2076">
        <f>IFERROR(XLOOKUP(C2076,'Vendor Master'!$A$6:$A$15,'Vendor Master'!$B$6:$B$15,""),"")</f>
        <v/>
      </c>
      <c r="J2076">
        <f>IF(A2076="","",TEXT(A2076,"mmm-yyyy"))</f>
        <v/>
      </c>
    </row>
    <row r="2077">
      <c r="D2077">
        <f>IFERROR(XLOOKUP(C2077,'Vendor Master'!$A$6:$A$15,'Vendor Master'!$B$6:$B$15,""),"")</f>
        <v/>
      </c>
      <c r="J2077">
        <f>IF(A2077="","",TEXT(A2077,"mmm-yyyy"))</f>
        <v/>
      </c>
    </row>
    <row r="2078">
      <c r="D2078">
        <f>IFERROR(XLOOKUP(C2078,'Vendor Master'!$A$6:$A$15,'Vendor Master'!$B$6:$B$15,""),"")</f>
        <v/>
      </c>
      <c r="J2078">
        <f>IF(A2078="","",TEXT(A2078,"mmm-yyyy"))</f>
        <v/>
      </c>
    </row>
    <row r="2079">
      <c r="D2079">
        <f>IFERROR(XLOOKUP(C2079,'Vendor Master'!$A$6:$A$15,'Vendor Master'!$B$6:$B$15,""),"")</f>
        <v/>
      </c>
      <c r="J2079">
        <f>IF(A2079="","",TEXT(A2079,"mmm-yyyy"))</f>
        <v/>
      </c>
    </row>
    <row r="2080">
      <c r="D2080">
        <f>IFERROR(XLOOKUP(C2080,'Vendor Master'!$A$6:$A$15,'Vendor Master'!$B$6:$B$15,""),"")</f>
        <v/>
      </c>
      <c r="J2080">
        <f>IF(A2080="","",TEXT(A2080,"mmm-yyyy"))</f>
        <v/>
      </c>
    </row>
    <row r="2081">
      <c r="D2081">
        <f>IFERROR(XLOOKUP(C2081,'Vendor Master'!$A$6:$A$15,'Vendor Master'!$B$6:$B$15,""),"")</f>
        <v/>
      </c>
      <c r="J2081">
        <f>IF(A2081="","",TEXT(A2081,"mmm-yyyy"))</f>
        <v/>
      </c>
    </row>
    <row r="2082">
      <c r="D2082">
        <f>IFERROR(XLOOKUP(C2082,'Vendor Master'!$A$6:$A$15,'Vendor Master'!$B$6:$B$15,""),"")</f>
        <v/>
      </c>
      <c r="J2082">
        <f>IF(A2082="","",TEXT(A2082,"mmm-yyyy"))</f>
        <v/>
      </c>
    </row>
    <row r="2083">
      <c r="D2083">
        <f>IFERROR(XLOOKUP(C2083,'Vendor Master'!$A$6:$A$15,'Vendor Master'!$B$6:$B$15,""),"")</f>
        <v/>
      </c>
      <c r="J2083">
        <f>IF(A2083="","",TEXT(A2083,"mmm-yyyy"))</f>
        <v/>
      </c>
    </row>
    <row r="2084">
      <c r="D2084">
        <f>IFERROR(XLOOKUP(C2084,'Vendor Master'!$A$6:$A$15,'Vendor Master'!$B$6:$B$15,""),"")</f>
        <v/>
      </c>
      <c r="J2084">
        <f>IF(A2084="","",TEXT(A2084,"mmm-yyyy"))</f>
        <v/>
      </c>
    </row>
    <row r="2085">
      <c r="D2085">
        <f>IFERROR(XLOOKUP(C2085,'Vendor Master'!$A$6:$A$15,'Vendor Master'!$B$6:$B$15,""),"")</f>
        <v/>
      </c>
      <c r="J2085">
        <f>IF(A2085="","",TEXT(A2085,"mmm-yyyy"))</f>
        <v/>
      </c>
    </row>
    <row r="2086">
      <c r="D2086">
        <f>IFERROR(XLOOKUP(C2086,'Vendor Master'!$A$6:$A$15,'Vendor Master'!$B$6:$B$15,""),"")</f>
        <v/>
      </c>
      <c r="J2086">
        <f>IF(A2086="","",TEXT(A2086,"mmm-yyyy"))</f>
        <v/>
      </c>
    </row>
    <row r="2087">
      <c r="D2087">
        <f>IFERROR(XLOOKUP(C2087,'Vendor Master'!$A$6:$A$15,'Vendor Master'!$B$6:$B$15,""),"")</f>
        <v/>
      </c>
      <c r="J2087">
        <f>IF(A2087="","",TEXT(A2087,"mmm-yyyy"))</f>
        <v/>
      </c>
    </row>
    <row r="2088">
      <c r="D2088">
        <f>IFERROR(XLOOKUP(C2088,'Vendor Master'!$A$6:$A$15,'Vendor Master'!$B$6:$B$15,""),"")</f>
        <v/>
      </c>
      <c r="J2088">
        <f>IF(A2088="","",TEXT(A2088,"mmm-yyyy"))</f>
        <v/>
      </c>
    </row>
    <row r="2089">
      <c r="D2089">
        <f>IFERROR(XLOOKUP(C2089,'Vendor Master'!$A$6:$A$15,'Vendor Master'!$B$6:$B$15,""),"")</f>
        <v/>
      </c>
      <c r="J2089">
        <f>IF(A2089="","",TEXT(A2089,"mmm-yyyy"))</f>
        <v/>
      </c>
    </row>
    <row r="2090">
      <c r="D2090">
        <f>IFERROR(XLOOKUP(C2090,'Vendor Master'!$A$6:$A$15,'Vendor Master'!$B$6:$B$15,""),"")</f>
        <v/>
      </c>
      <c r="J2090">
        <f>IF(A2090="","",TEXT(A2090,"mmm-yyyy"))</f>
        <v/>
      </c>
    </row>
    <row r="2091">
      <c r="D2091">
        <f>IFERROR(XLOOKUP(C2091,'Vendor Master'!$A$6:$A$15,'Vendor Master'!$B$6:$B$15,""),"")</f>
        <v/>
      </c>
      <c r="J2091">
        <f>IF(A2091="","",TEXT(A2091,"mmm-yyyy"))</f>
        <v/>
      </c>
    </row>
    <row r="2092">
      <c r="D2092">
        <f>IFERROR(XLOOKUP(C2092,'Vendor Master'!$A$6:$A$15,'Vendor Master'!$B$6:$B$15,""),"")</f>
        <v/>
      </c>
      <c r="J2092">
        <f>IF(A2092="","",TEXT(A2092,"mmm-yyyy"))</f>
        <v/>
      </c>
    </row>
    <row r="2093">
      <c r="D2093">
        <f>IFERROR(XLOOKUP(C2093,'Vendor Master'!$A$6:$A$15,'Vendor Master'!$B$6:$B$15,""),"")</f>
        <v/>
      </c>
      <c r="J2093">
        <f>IF(A2093="","",TEXT(A2093,"mmm-yyyy"))</f>
        <v/>
      </c>
    </row>
    <row r="2094">
      <c r="D2094">
        <f>IFERROR(XLOOKUP(C2094,'Vendor Master'!$A$6:$A$15,'Vendor Master'!$B$6:$B$15,""),"")</f>
        <v/>
      </c>
      <c r="J2094">
        <f>IF(A2094="","",TEXT(A2094,"mmm-yyyy"))</f>
        <v/>
      </c>
    </row>
    <row r="2095">
      <c r="D2095">
        <f>IFERROR(XLOOKUP(C2095,'Vendor Master'!$A$6:$A$15,'Vendor Master'!$B$6:$B$15,""),"")</f>
        <v/>
      </c>
      <c r="J2095">
        <f>IF(A2095="","",TEXT(A2095,"mmm-yyyy"))</f>
        <v/>
      </c>
    </row>
    <row r="2096">
      <c r="D2096">
        <f>IFERROR(XLOOKUP(C2096,'Vendor Master'!$A$6:$A$15,'Vendor Master'!$B$6:$B$15,""),"")</f>
        <v/>
      </c>
      <c r="J2096">
        <f>IF(A2096="","",TEXT(A2096,"mmm-yyyy"))</f>
        <v/>
      </c>
    </row>
    <row r="2097">
      <c r="D2097">
        <f>IFERROR(XLOOKUP(C2097,'Vendor Master'!$A$6:$A$15,'Vendor Master'!$B$6:$B$15,""),"")</f>
        <v/>
      </c>
      <c r="J2097">
        <f>IF(A2097="","",TEXT(A2097,"mmm-yyyy"))</f>
        <v/>
      </c>
    </row>
    <row r="2098">
      <c r="D2098">
        <f>IFERROR(XLOOKUP(C2098,'Vendor Master'!$A$6:$A$15,'Vendor Master'!$B$6:$B$15,""),"")</f>
        <v/>
      </c>
      <c r="J2098">
        <f>IF(A2098="","",TEXT(A2098,"mmm-yyyy"))</f>
        <v/>
      </c>
    </row>
    <row r="2099">
      <c r="D2099">
        <f>IFERROR(XLOOKUP(C2099,'Vendor Master'!$A$6:$A$15,'Vendor Master'!$B$6:$B$15,""),"")</f>
        <v/>
      </c>
      <c r="J2099">
        <f>IF(A2099="","",TEXT(A2099,"mmm-yyyy"))</f>
        <v/>
      </c>
    </row>
    <row r="2100">
      <c r="D2100">
        <f>IFERROR(XLOOKUP(C2100,'Vendor Master'!$A$6:$A$15,'Vendor Master'!$B$6:$B$15,""),"")</f>
        <v/>
      </c>
      <c r="J2100">
        <f>IF(A2100="","",TEXT(A2100,"mmm-yyyy"))</f>
        <v/>
      </c>
    </row>
    <row r="2101">
      <c r="D2101">
        <f>IFERROR(XLOOKUP(C2101,'Vendor Master'!$A$6:$A$15,'Vendor Master'!$B$6:$B$15,""),"")</f>
        <v/>
      </c>
      <c r="J2101">
        <f>IF(A2101="","",TEXT(A2101,"mmm-yyyy"))</f>
        <v/>
      </c>
    </row>
    <row r="2102">
      <c r="D2102">
        <f>IFERROR(XLOOKUP(C2102,'Vendor Master'!$A$6:$A$15,'Vendor Master'!$B$6:$B$15,""),"")</f>
        <v/>
      </c>
      <c r="J2102">
        <f>IF(A2102="","",TEXT(A2102,"mmm-yyyy"))</f>
        <v/>
      </c>
    </row>
    <row r="2103">
      <c r="D2103">
        <f>IFERROR(XLOOKUP(C2103,'Vendor Master'!$A$6:$A$15,'Vendor Master'!$B$6:$B$15,""),"")</f>
        <v/>
      </c>
      <c r="J2103">
        <f>IF(A2103="","",TEXT(A2103,"mmm-yyyy"))</f>
        <v/>
      </c>
    </row>
    <row r="2104">
      <c r="D2104">
        <f>IFERROR(XLOOKUP(C2104,'Vendor Master'!$A$6:$A$15,'Vendor Master'!$B$6:$B$15,""),"")</f>
        <v/>
      </c>
      <c r="J2104">
        <f>IF(A2104="","",TEXT(A2104,"mmm-yyyy"))</f>
        <v/>
      </c>
    </row>
    <row r="2105">
      <c r="D2105">
        <f>IFERROR(XLOOKUP(C2105,'Vendor Master'!$A$6:$A$15,'Vendor Master'!$B$6:$B$15,""),"")</f>
        <v/>
      </c>
      <c r="J2105">
        <f>IF(A2105="","",TEXT(A2105,"mmm-yyyy"))</f>
        <v/>
      </c>
    </row>
    <row r="2106">
      <c r="D2106">
        <f>IFERROR(XLOOKUP(C2106,'Vendor Master'!$A$6:$A$15,'Vendor Master'!$B$6:$B$15,""),"")</f>
        <v/>
      </c>
      <c r="J2106">
        <f>IF(A2106="","",TEXT(A2106,"mmm-yyyy"))</f>
        <v/>
      </c>
    </row>
    <row r="2107">
      <c r="D2107">
        <f>IFERROR(XLOOKUP(C2107,'Vendor Master'!$A$6:$A$15,'Vendor Master'!$B$6:$B$15,""),"")</f>
        <v/>
      </c>
      <c r="J2107">
        <f>IF(A2107="","",TEXT(A2107,"mmm-yyyy"))</f>
        <v/>
      </c>
    </row>
    <row r="2108">
      <c r="D2108">
        <f>IFERROR(XLOOKUP(C2108,'Vendor Master'!$A$6:$A$15,'Vendor Master'!$B$6:$B$15,""),"")</f>
        <v/>
      </c>
      <c r="J2108">
        <f>IF(A2108="","",TEXT(A2108,"mmm-yyyy"))</f>
        <v/>
      </c>
    </row>
    <row r="2109">
      <c r="D2109">
        <f>IFERROR(XLOOKUP(C2109,'Vendor Master'!$A$6:$A$15,'Vendor Master'!$B$6:$B$15,""),"")</f>
        <v/>
      </c>
      <c r="J2109">
        <f>IF(A2109="","",TEXT(A2109,"mmm-yyyy"))</f>
        <v/>
      </c>
    </row>
    <row r="2110">
      <c r="D2110">
        <f>IFERROR(XLOOKUP(C2110,'Vendor Master'!$A$6:$A$15,'Vendor Master'!$B$6:$B$15,""),"")</f>
        <v/>
      </c>
      <c r="J2110">
        <f>IF(A2110="","",TEXT(A2110,"mmm-yyyy"))</f>
        <v/>
      </c>
    </row>
    <row r="2111">
      <c r="D2111">
        <f>IFERROR(XLOOKUP(C2111,'Vendor Master'!$A$6:$A$15,'Vendor Master'!$B$6:$B$15,""),"")</f>
        <v/>
      </c>
      <c r="J2111">
        <f>IF(A2111="","",TEXT(A2111,"mmm-yyyy"))</f>
        <v/>
      </c>
    </row>
    <row r="2112">
      <c r="D2112">
        <f>IFERROR(XLOOKUP(C2112,'Vendor Master'!$A$6:$A$15,'Vendor Master'!$B$6:$B$15,""),"")</f>
        <v/>
      </c>
      <c r="J2112">
        <f>IF(A2112="","",TEXT(A2112,"mmm-yyyy"))</f>
        <v/>
      </c>
    </row>
    <row r="2113">
      <c r="D2113">
        <f>IFERROR(XLOOKUP(C2113,'Vendor Master'!$A$6:$A$15,'Vendor Master'!$B$6:$B$15,""),"")</f>
        <v/>
      </c>
      <c r="J2113">
        <f>IF(A2113="","",TEXT(A2113,"mmm-yyyy"))</f>
        <v/>
      </c>
    </row>
    <row r="2114">
      <c r="D2114">
        <f>IFERROR(XLOOKUP(C2114,'Vendor Master'!$A$6:$A$15,'Vendor Master'!$B$6:$B$15,""),"")</f>
        <v/>
      </c>
      <c r="J2114">
        <f>IF(A2114="","",TEXT(A2114,"mmm-yyyy"))</f>
        <v/>
      </c>
    </row>
    <row r="2115">
      <c r="D2115">
        <f>IFERROR(XLOOKUP(C2115,'Vendor Master'!$A$6:$A$15,'Vendor Master'!$B$6:$B$15,""),"")</f>
        <v/>
      </c>
      <c r="J2115">
        <f>IF(A2115="","",TEXT(A2115,"mmm-yyyy"))</f>
        <v/>
      </c>
    </row>
    <row r="2116">
      <c r="D2116">
        <f>IFERROR(XLOOKUP(C2116,'Vendor Master'!$A$6:$A$15,'Vendor Master'!$B$6:$B$15,""),"")</f>
        <v/>
      </c>
      <c r="J2116">
        <f>IF(A2116="","",TEXT(A2116,"mmm-yyyy"))</f>
        <v/>
      </c>
    </row>
    <row r="2117">
      <c r="D2117">
        <f>IFERROR(XLOOKUP(C2117,'Vendor Master'!$A$6:$A$15,'Vendor Master'!$B$6:$B$15,""),"")</f>
        <v/>
      </c>
      <c r="J2117">
        <f>IF(A2117="","",TEXT(A2117,"mmm-yyyy"))</f>
        <v/>
      </c>
    </row>
    <row r="2118">
      <c r="D2118">
        <f>IFERROR(XLOOKUP(C2118,'Vendor Master'!$A$6:$A$15,'Vendor Master'!$B$6:$B$15,""),"")</f>
        <v/>
      </c>
      <c r="J2118">
        <f>IF(A2118="","",TEXT(A2118,"mmm-yyyy"))</f>
        <v/>
      </c>
    </row>
    <row r="2119">
      <c r="D2119">
        <f>IFERROR(XLOOKUP(C2119,'Vendor Master'!$A$6:$A$15,'Vendor Master'!$B$6:$B$15,""),"")</f>
        <v/>
      </c>
      <c r="J2119">
        <f>IF(A2119="","",TEXT(A2119,"mmm-yyyy"))</f>
        <v/>
      </c>
    </row>
    <row r="2120">
      <c r="D2120">
        <f>IFERROR(XLOOKUP(C2120,'Vendor Master'!$A$6:$A$15,'Vendor Master'!$B$6:$B$15,""),"")</f>
        <v/>
      </c>
      <c r="J2120">
        <f>IF(A2120="","",TEXT(A2120,"mmm-yyyy"))</f>
        <v/>
      </c>
    </row>
    <row r="2121">
      <c r="D2121">
        <f>IFERROR(XLOOKUP(C2121,'Vendor Master'!$A$6:$A$15,'Vendor Master'!$B$6:$B$15,""),"")</f>
        <v/>
      </c>
      <c r="J2121">
        <f>IF(A2121="","",TEXT(A2121,"mmm-yyyy"))</f>
        <v/>
      </c>
    </row>
    <row r="2122">
      <c r="D2122">
        <f>IFERROR(XLOOKUP(C2122,'Vendor Master'!$A$6:$A$15,'Vendor Master'!$B$6:$B$15,""),"")</f>
        <v/>
      </c>
      <c r="J2122">
        <f>IF(A2122="","",TEXT(A2122,"mmm-yyyy"))</f>
        <v/>
      </c>
    </row>
    <row r="2123">
      <c r="D2123">
        <f>IFERROR(XLOOKUP(C2123,'Vendor Master'!$A$6:$A$15,'Vendor Master'!$B$6:$B$15,""),"")</f>
        <v/>
      </c>
      <c r="J2123">
        <f>IF(A2123="","",TEXT(A2123,"mmm-yyyy"))</f>
        <v/>
      </c>
    </row>
    <row r="2124">
      <c r="D2124">
        <f>IFERROR(XLOOKUP(C2124,'Vendor Master'!$A$6:$A$15,'Vendor Master'!$B$6:$B$15,""),"")</f>
        <v/>
      </c>
      <c r="J2124">
        <f>IF(A2124="","",TEXT(A2124,"mmm-yyyy"))</f>
        <v/>
      </c>
    </row>
    <row r="2125">
      <c r="D2125">
        <f>IFERROR(XLOOKUP(C2125,'Vendor Master'!$A$6:$A$15,'Vendor Master'!$B$6:$B$15,""),"")</f>
        <v/>
      </c>
      <c r="J2125">
        <f>IF(A2125="","",TEXT(A2125,"mmm-yyyy"))</f>
        <v/>
      </c>
    </row>
    <row r="2126">
      <c r="D2126">
        <f>IFERROR(XLOOKUP(C2126,'Vendor Master'!$A$6:$A$15,'Vendor Master'!$B$6:$B$15,""),"")</f>
        <v/>
      </c>
      <c r="J2126">
        <f>IF(A2126="","",TEXT(A2126,"mmm-yyyy"))</f>
        <v/>
      </c>
    </row>
    <row r="2127">
      <c r="D2127">
        <f>IFERROR(XLOOKUP(C2127,'Vendor Master'!$A$6:$A$15,'Vendor Master'!$B$6:$B$15,""),"")</f>
        <v/>
      </c>
      <c r="J2127">
        <f>IF(A2127="","",TEXT(A2127,"mmm-yyyy"))</f>
        <v/>
      </c>
    </row>
    <row r="2128">
      <c r="D2128">
        <f>IFERROR(XLOOKUP(C2128,'Vendor Master'!$A$6:$A$15,'Vendor Master'!$B$6:$B$15,""),"")</f>
        <v/>
      </c>
      <c r="J2128">
        <f>IF(A2128="","",TEXT(A2128,"mmm-yyyy"))</f>
        <v/>
      </c>
    </row>
    <row r="2129">
      <c r="D2129">
        <f>IFERROR(XLOOKUP(C2129,'Vendor Master'!$A$6:$A$15,'Vendor Master'!$B$6:$B$15,""),"")</f>
        <v/>
      </c>
      <c r="J2129">
        <f>IF(A2129="","",TEXT(A2129,"mmm-yyyy"))</f>
        <v/>
      </c>
    </row>
    <row r="2130">
      <c r="D2130">
        <f>IFERROR(XLOOKUP(C2130,'Vendor Master'!$A$6:$A$15,'Vendor Master'!$B$6:$B$15,""),"")</f>
        <v/>
      </c>
      <c r="J2130">
        <f>IF(A2130="","",TEXT(A2130,"mmm-yyyy"))</f>
        <v/>
      </c>
    </row>
    <row r="2131">
      <c r="D2131">
        <f>IFERROR(XLOOKUP(C2131,'Vendor Master'!$A$6:$A$15,'Vendor Master'!$B$6:$B$15,""),"")</f>
        <v/>
      </c>
      <c r="J2131">
        <f>IF(A2131="","",TEXT(A2131,"mmm-yyyy"))</f>
        <v/>
      </c>
    </row>
    <row r="2132">
      <c r="D2132">
        <f>IFERROR(XLOOKUP(C2132,'Vendor Master'!$A$6:$A$15,'Vendor Master'!$B$6:$B$15,""),"")</f>
        <v/>
      </c>
      <c r="J2132">
        <f>IF(A2132="","",TEXT(A2132,"mmm-yyyy"))</f>
        <v/>
      </c>
    </row>
    <row r="2133">
      <c r="D2133">
        <f>IFERROR(XLOOKUP(C2133,'Vendor Master'!$A$6:$A$15,'Vendor Master'!$B$6:$B$15,""),"")</f>
        <v/>
      </c>
      <c r="J2133">
        <f>IF(A2133="","",TEXT(A2133,"mmm-yyyy"))</f>
        <v/>
      </c>
    </row>
    <row r="2134">
      <c r="D2134">
        <f>IFERROR(XLOOKUP(C2134,'Vendor Master'!$A$6:$A$15,'Vendor Master'!$B$6:$B$15,""),"")</f>
        <v/>
      </c>
      <c r="J2134">
        <f>IF(A2134="","",TEXT(A2134,"mmm-yyyy"))</f>
        <v/>
      </c>
    </row>
    <row r="2135">
      <c r="D2135">
        <f>IFERROR(XLOOKUP(C2135,'Vendor Master'!$A$6:$A$15,'Vendor Master'!$B$6:$B$15,""),"")</f>
        <v/>
      </c>
      <c r="J2135">
        <f>IF(A2135="","",TEXT(A2135,"mmm-yyyy"))</f>
        <v/>
      </c>
    </row>
    <row r="2136">
      <c r="D2136">
        <f>IFERROR(XLOOKUP(C2136,'Vendor Master'!$A$6:$A$15,'Vendor Master'!$B$6:$B$15,""),"")</f>
        <v/>
      </c>
      <c r="J2136">
        <f>IF(A2136="","",TEXT(A2136,"mmm-yyyy"))</f>
        <v/>
      </c>
    </row>
    <row r="2137">
      <c r="D2137">
        <f>IFERROR(XLOOKUP(C2137,'Vendor Master'!$A$6:$A$15,'Vendor Master'!$B$6:$B$15,""),"")</f>
        <v/>
      </c>
      <c r="J2137">
        <f>IF(A2137="","",TEXT(A2137,"mmm-yyyy"))</f>
        <v/>
      </c>
    </row>
    <row r="2138">
      <c r="D2138">
        <f>IFERROR(XLOOKUP(C2138,'Vendor Master'!$A$6:$A$15,'Vendor Master'!$B$6:$B$15,""),"")</f>
        <v/>
      </c>
      <c r="J2138">
        <f>IF(A2138="","",TEXT(A2138,"mmm-yyyy"))</f>
        <v/>
      </c>
    </row>
    <row r="2139">
      <c r="D2139">
        <f>IFERROR(XLOOKUP(C2139,'Vendor Master'!$A$6:$A$15,'Vendor Master'!$B$6:$B$15,""),"")</f>
        <v/>
      </c>
      <c r="J2139">
        <f>IF(A2139="","",TEXT(A2139,"mmm-yyyy"))</f>
        <v/>
      </c>
    </row>
    <row r="2140">
      <c r="D2140">
        <f>IFERROR(XLOOKUP(C2140,'Vendor Master'!$A$6:$A$15,'Vendor Master'!$B$6:$B$15,""),"")</f>
        <v/>
      </c>
      <c r="J2140">
        <f>IF(A2140="","",TEXT(A2140,"mmm-yyyy"))</f>
        <v/>
      </c>
    </row>
    <row r="2141">
      <c r="D2141">
        <f>IFERROR(XLOOKUP(C2141,'Vendor Master'!$A$6:$A$15,'Vendor Master'!$B$6:$B$15,""),"")</f>
        <v/>
      </c>
      <c r="J2141">
        <f>IF(A2141="","",TEXT(A2141,"mmm-yyyy"))</f>
        <v/>
      </c>
    </row>
    <row r="2142">
      <c r="D2142">
        <f>IFERROR(XLOOKUP(C2142,'Vendor Master'!$A$6:$A$15,'Vendor Master'!$B$6:$B$15,""),"")</f>
        <v/>
      </c>
      <c r="J2142">
        <f>IF(A2142="","",TEXT(A2142,"mmm-yyyy"))</f>
        <v/>
      </c>
    </row>
    <row r="2143">
      <c r="D2143">
        <f>IFERROR(XLOOKUP(C2143,'Vendor Master'!$A$6:$A$15,'Vendor Master'!$B$6:$B$15,""),"")</f>
        <v/>
      </c>
      <c r="J2143">
        <f>IF(A2143="","",TEXT(A2143,"mmm-yyyy"))</f>
        <v/>
      </c>
    </row>
    <row r="2144">
      <c r="D2144">
        <f>IFERROR(XLOOKUP(C2144,'Vendor Master'!$A$6:$A$15,'Vendor Master'!$B$6:$B$15,""),"")</f>
        <v/>
      </c>
      <c r="J2144">
        <f>IF(A2144="","",TEXT(A2144,"mmm-yyyy"))</f>
        <v/>
      </c>
    </row>
    <row r="2145">
      <c r="D2145">
        <f>IFERROR(XLOOKUP(C2145,'Vendor Master'!$A$6:$A$15,'Vendor Master'!$B$6:$B$15,""),"")</f>
        <v/>
      </c>
      <c r="J2145">
        <f>IF(A2145="","",TEXT(A2145,"mmm-yyyy"))</f>
        <v/>
      </c>
    </row>
    <row r="2146">
      <c r="D2146">
        <f>IFERROR(XLOOKUP(C2146,'Vendor Master'!$A$6:$A$15,'Vendor Master'!$B$6:$B$15,""),"")</f>
        <v/>
      </c>
      <c r="J2146">
        <f>IF(A2146="","",TEXT(A2146,"mmm-yyyy"))</f>
        <v/>
      </c>
    </row>
    <row r="2147">
      <c r="D2147">
        <f>IFERROR(XLOOKUP(C2147,'Vendor Master'!$A$6:$A$15,'Vendor Master'!$B$6:$B$15,""),"")</f>
        <v/>
      </c>
      <c r="J2147">
        <f>IF(A2147="","",TEXT(A2147,"mmm-yyyy"))</f>
        <v/>
      </c>
    </row>
    <row r="2148">
      <c r="D2148">
        <f>IFERROR(XLOOKUP(C2148,'Vendor Master'!$A$6:$A$15,'Vendor Master'!$B$6:$B$15,""),"")</f>
        <v/>
      </c>
      <c r="J2148">
        <f>IF(A2148="","",TEXT(A2148,"mmm-yyyy"))</f>
        <v/>
      </c>
    </row>
    <row r="2149">
      <c r="D2149">
        <f>IFERROR(XLOOKUP(C2149,'Vendor Master'!$A$6:$A$15,'Vendor Master'!$B$6:$B$15,""),"")</f>
        <v/>
      </c>
      <c r="J2149">
        <f>IF(A2149="","",TEXT(A2149,"mmm-yyyy"))</f>
        <v/>
      </c>
    </row>
    <row r="2150">
      <c r="D2150">
        <f>IFERROR(XLOOKUP(C2150,'Vendor Master'!$A$6:$A$15,'Vendor Master'!$B$6:$B$15,""),"")</f>
        <v/>
      </c>
      <c r="J2150">
        <f>IF(A2150="","",TEXT(A2150,"mmm-yyyy"))</f>
        <v/>
      </c>
    </row>
    <row r="2151">
      <c r="D2151">
        <f>IFERROR(XLOOKUP(C2151,'Vendor Master'!$A$6:$A$15,'Vendor Master'!$B$6:$B$15,""),"")</f>
        <v/>
      </c>
      <c r="J2151">
        <f>IF(A2151="","",TEXT(A2151,"mmm-yyyy"))</f>
        <v/>
      </c>
    </row>
    <row r="2152">
      <c r="D2152">
        <f>IFERROR(XLOOKUP(C2152,'Vendor Master'!$A$6:$A$15,'Vendor Master'!$B$6:$B$15,""),"")</f>
        <v/>
      </c>
      <c r="J2152">
        <f>IF(A2152="","",TEXT(A2152,"mmm-yyyy"))</f>
        <v/>
      </c>
    </row>
    <row r="2153">
      <c r="D2153">
        <f>IFERROR(XLOOKUP(C2153,'Vendor Master'!$A$6:$A$15,'Vendor Master'!$B$6:$B$15,""),"")</f>
        <v/>
      </c>
      <c r="J2153">
        <f>IF(A2153="","",TEXT(A2153,"mmm-yyyy"))</f>
        <v/>
      </c>
    </row>
    <row r="2154">
      <c r="D2154">
        <f>IFERROR(XLOOKUP(C2154,'Vendor Master'!$A$6:$A$15,'Vendor Master'!$B$6:$B$15,""),"")</f>
        <v/>
      </c>
      <c r="J2154">
        <f>IF(A2154="","",TEXT(A2154,"mmm-yyyy"))</f>
        <v/>
      </c>
    </row>
    <row r="2155">
      <c r="D2155">
        <f>IFERROR(XLOOKUP(C2155,'Vendor Master'!$A$6:$A$15,'Vendor Master'!$B$6:$B$15,""),"")</f>
        <v/>
      </c>
      <c r="J2155">
        <f>IF(A2155="","",TEXT(A2155,"mmm-yyyy"))</f>
        <v/>
      </c>
    </row>
    <row r="2156">
      <c r="D2156">
        <f>IFERROR(XLOOKUP(C2156,'Vendor Master'!$A$6:$A$15,'Vendor Master'!$B$6:$B$15,""),"")</f>
        <v/>
      </c>
      <c r="J2156">
        <f>IF(A2156="","",TEXT(A2156,"mmm-yyyy"))</f>
        <v/>
      </c>
    </row>
    <row r="2157">
      <c r="D2157">
        <f>IFERROR(XLOOKUP(C2157,'Vendor Master'!$A$6:$A$15,'Vendor Master'!$B$6:$B$15,""),"")</f>
        <v/>
      </c>
      <c r="J2157">
        <f>IF(A2157="","",TEXT(A2157,"mmm-yyyy"))</f>
        <v/>
      </c>
    </row>
    <row r="2158">
      <c r="D2158">
        <f>IFERROR(XLOOKUP(C2158,'Vendor Master'!$A$6:$A$15,'Vendor Master'!$B$6:$B$15,""),"")</f>
        <v/>
      </c>
      <c r="J2158">
        <f>IF(A2158="","",TEXT(A2158,"mmm-yyyy"))</f>
        <v/>
      </c>
    </row>
    <row r="2159">
      <c r="D2159">
        <f>IFERROR(XLOOKUP(C2159,'Vendor Master'!$A$6:$A$15,'Vendor Master'!$B$6:$B$15,""),"")</f>
        <v/>
      </c>
      <c r="J2159">
        <f>IF(A2159="","",TEXT(A2159,"mmm-yyyy"))</f>
        <v/>
      </c>
    </row>
    <row r="2160">
      <c r="D2160">
        <f>IFERROR(XLOOKUP(C2160,'Vendor Master'!$A$6:$A$15,'Vendor Master'!$B$6:$B$15,""),"")</f>
        <v/>
      </c>
      <c r="J2160">
        <f>IF(A2160="","",TEXT(A2160,"mmm-yyyy"))</f>
        <v/>
      </c>
    </row>
    <row r="2161">
      <c r="D2161">
        <f>IFERROR(XLOOKUP(C2161,'Vendor Master'!$A$6:$A$15,'Vendor Master'!$B$6:$B$15,""),"")</f>
        <v/>
      </c>
      <c r="J2161">
        <f>IF(A2161="","",TEXT(A2161,"mmm-yyyy"))</f>
        <v/>
      </c>
    </row>
    <row r="2162">
      <c r="D2162">
        <f>IFERROR(XLOOKUP(C2162,'Vendor Master'!$A$6:$A$15,'Vendor Master'!$B$6:$B$15,""),"")</f>
        <v/>
      </c>
      <c r="J2162">
        <f>IF(A2162="","",TEXT(A2162,"mmm-yyyy"))</f>
        <v/>
      </c>
    </row>
    <row r="2163">
      <c r="D2163">
        <f>IFERROR(XLOOKUP(C2163,'Vendor Master'!$A$6:$A$15,'Vendor Master'!$B$6:$B$15,""),"")</f>
        <v/>
      </c>
      <c r="J2163">
        <f>IF(A2163="","",TEXT(A2163,"mmm-yyyy"))</f>
        <v/>
      </c>
    </row>
    <row r="2164">
      <c r="D2164">
        <f>IFERROR(XLOOKUP(C2164,'Vendor Master'!$A$6:$A$15,'Vendor Master'!$B$6:$B$15,""),"")</f>
        <v/>
      </c>
      <c r="J2164">
        <f>IF(A2164="","",TEXT(A2164,"mmm-yyyy"))</f>
        <v/>
      </c>
    </row>
    <row r="2165">
      <c r="D2165">
        <f>IFERROR(XLOOKUP(C2165,'Vendor Master'!$A$6:$A$15,'Vendor Master'!$B$6:$B$15,""),"")</f>
        <v/>
      </c>
      <c r="J2165">
        <f>IF(A2165="","",TEXT(A2165,"mmm-yyyy"))</f>
        <v/>
      </c>
    </row>
    <row r="2166">
      <c r="D2166">
        <f>IFERROR(XLOOKUP(C2166,'Vendor Master'!$A$6:$A$15,'Vendor Master'!$B$6:$B$15,""),"")</f>
        <v/>
      </c>
      <c r="J2166">
        <f>IF(A2166="","",TEXT(A2166,"mmm-yyyy"))</f>
        <v/>
      </c>
    </row>
    <row r="2167">
      <c r="D2167">
        <f>IFERROR(XLOOKUP(C2167,'Vendor Master'!$A$6:$A$15,'Vendor Master'!$B$6:$B$15,""),"")</f>
        <v/>
      </c>
      <c r="J2167">
        <f>IF(A2167="","",TEXT(A2167,"mmm-yyyy"))</f>
        <v/>
      </c>
    </row>
    <row r="2168">
      <c r="D2168">
        <f>IFERROR(XLOOKUP(C2168,'Vendor Master'!$A$6:$A$15,'Vendor Master'!$B$6:$B$15,""),"")</f>
        <v/>
      </c>
      <c r="J2168">
        <f>IF(A2168="","",TEXT(A2168,"mmm-yyyy"))</f>
        <v/>
      </c>
    </row>
    <row r="2169">
      <c r="D2169">
        <f>IFERROR(XLOOKUP(C2169,'Vendor Master'!$A$6:$A$15,'Vendor Master'!$B$6:$B$15,""),"")</f>
        <v/>
      </c>
      <c r="J2169">
        <f>IF(A2169="","",TEXT(A2169,"mmm-yyyy"))</f>
        <v/>
      </c>
    </row>
    <row r="2170">
      <c r="D2170">
        <f>IFERROR(XLOOKUP(C2170,'Vendor Master'!$A$6:$A$15,'Vendor Master'!$B$6:$B$15,""),"")</f>
        <v/>
      </c>
      <c r="J2170">
        <f>IF(A2170="","",TEXT(A2170,"mmm-yyyy"))</f>
        <v/>
      </c>
    </row>
    <row r="2171">
      <c r="D2171">
        <f>IFERROR(XLOOKUP(C2171,'Vendor Master'!$A$6:$A$15,'Vendor Master'!$B$6:$B$15,""),"")</f>
        <v/>
      </c>
      <c r="J2171">
        <f>IF(A2171="","",TEXT(A2171,"mmm-yyyy"))</f>
        <v/>
      </c>
    </row>
    <row r="2172">
      <c r="D2172">
        <f>IFERROR(XLOOKUP(C2172,'Vendor Master'!$A$6:$A$15,'Vendor Master'!$B$6:$B$15,""),"")</f>
        <v/>
      </c>
      <c r="J2172">
        <f>IF(A2172="","",TEXT(A2172,"mmm-yyyy"))</f>
        <v/>
      </c>
    </row>
    <row r="2173">
      <c r="D2173">
        <f>IFERROR(XLOOKUP(C2173,'Vendor Master'!$A$6:$A$15,'Vendor Master'!$B$6:$B$15,""),"")</f>
        <v/>
      </c>
      <c r="J2173">
        <f>IF(A2173="","",TEXT(A2173,"mmm-yyyy"))</f>
        <v/>
      </c>
    </row>
    <row r="2174">
      <c r="D2174">
        <f>IFERROR(XLOOKUP(C2174,'Vendor Master'!$A$6:$A$15,'Vendor Master'!$B$6:$B$15,""),"")</f>
        <v/>
      </c>
      <c r="J2174">
        <f>IF(A2174="","",TEXT(A2174,"mmm-yyyy"))</f>
        <v/>
      </c>
    </row>
    <row r="2175">
      <c r="D2175">
        <f>IFERROR(XLOOKUP(C2175,'Vendor Master'!$A$6:$A$15,'Vendor Master'!$B$6:$B$15,""),"")</f>
        <v/>
      </c>
      <c r="J2175">
        <f>IF(A2175="","",TEXT(A2175,"mmm-yyyy"))</f>
        <v/>
      </c>
    </row>
    <row r="2176">
      <c r="D2176">
        <f>IFERROR(XLOOKUP(C2176,'Vendor Master'!$A$6:$A$15,'Vendor Master'!$B$6:$B$15,""),"")</f>
        <v/>
      </c>
      <c r="J2176">
        <f>IF(A2176="","",TEXT(A2176,"mmm-yyyy"))</f>
        <v/>
      </c>
    </row>
    <row r="2177">
      <c r="D2177">
        <f>IFERROR(XLOOKUP(C2177,'Vendor Master'!$A$6:$A$15,'Vendor Master'!$B$6:$B$15,""),"")</f>
        <v/>
      </c>
      <c r="J2177">
        <f>IF(A2177="","",TEXT(A2177,"mmm-yyyy"))</f>
        <v/>
      </c>
    </row>
    <row r="2178">
      <c r="D2178">
        <f>IFERROR(XLOOKUP(C2178,'Vendor Master'!$A$6:$A$15,'Vendor Master'!$B$6:$B$15,""),"")</f>
        <v/>
      </c>
      <c r="J2178">
        <f>IF(A2178="","",TEXT(A2178,"mmm-yyyy"))</f>
        <v/>
      </c>
    </row>
    <row r="2179">
      <c r="D2179">
        <f>IFERROR(XLOOKUP(C2179,'Vendor Master'!$A$6:$A$15,'Vendor Master'!$B$6:$B$15,""),"")</f>
        <v/>
      </c>
      <c r="J2179">
        <f>IF(A2179="","",TEXT(A2179,"mmm-yyyy"))</f>
        <v/>
      </c>
    </row>
    <row r="2180">
      <c r="D2180">
        <f>IFERROR(XLOOKUP(C2180,'Vendor Master'!$A$6:$A$15,'Vendor Master'!$B$6:$B$15,""),"")</f>
        <v/>
      </c>
      <c r="J2180">
        <f>IF(A2180="","",TEXT(A2180,"mmm-yyyy"))</f>
        <v/>
      </c>
    </row>
    <row r="2181">
      <c r="D2181">
        <f>IFERROR(XLOOKUP(C2181,'Vendor Master'!$A$6:$A$15,'Vendor Master'!$B$6:$B$15,""),"")</f>
        <v/>
      </c>
      <c r="J2181">
        <f>IF(A2181="","",TEXT(A2181,"mmm-yyyy"))</f>
        <v/>
      </c>
    </row>
    <row r="2182">
      <c r="D2182">
        <f>IFERROR(XLOOKUP(C2182,'Vendor Master'!$A$6:$A$15,'Vendor Master'!$B$6:$B$15,""),"")</f>
        <v/>
      </c>
      <c r="J2182">
        <f>IF(A2182="","",TEXT(A2182,"mmm-yyyy"))</f>
        <v/>
      </c>
    </row>
    <row r="2183">
      <c r="D2183">
        <f>IFERROR(XLOOKUP(C2183,'Vendor Master'!$A$6:$A$15,'Vendor Master'!$B$6:$B$15,""),"")</f>
        <v/>
      </c>
      <c r="J2183">
        <f>IF(A2183="","",TEXT(A2183,"mmm-yyyy"))</f>
        <v/>
      </c>
    </row>
    <row r="2184">
      <c r="D2184">
        <f>IFERROR(XLOOKUP(C2184,'Vendor Master'!$A$6:$A$15,'Vendor Master'!$B$6:$B$15,""),"")</f>
        <v/>
      </c>
      <c r="J2184">
        <f>IF(A2184="","",TEXT(A2184,"mmm-yyyy"))</f>
        <v/>
      </c>
    </row>
    <row r="2185">
      <c r="D2185">
        <f>IFERROR(XLOOKUP(C2185,'Vendor Master'!$A$6:$A$15,'Vendor Master'!$B$6:$B$15,""),"")</f>
        <v/>
      </c>
      <c r="J2185">
        <f>IF(A2185="","",TEXT(A2185,"mmm-yyyy"))</f>
        <v/>
      </c>
    </row>
    <row r="2186">
      <c r="D2186">
        <f>IFERROR(XLOOKUP(C2186,'Vendor Master'!$A$6:$A$15,'Vendor Master'!$B$6:$B$15,""),"")</f>
        <v/>
      </c>
      <c r="J2186">
        <f>IF(A2186="","",TEXT(A2186,"mmm-yyyy"))</f>
        <v/>
      </c>
    </row>
    <row r="2187">
      <c r="D2187">
        <f>IFERROR(XLOOKUP(C2187,'Vendor Master'!$A$6:$A$15,'Vendor Master'!$B$6:$B$15,""),"")</f>
        <v/>
      </c>
      <c r="J2187">
        <f>IF(A2187="","",TEXT(A2187,"mmm-yyyy"))</f>
        <v/>
      </c>
    </row>
    <row r="2188">
      <c r="D2188">
        <f>IFERROR(XLOOKUP(C2188,'Vendor Master'!$A$6:$A$15,'Vendor Master'!$B$6:$B$15,""),"")</f>
        <v/>
      </c>
      <c r="J2188">
        <f>IF(A2188="","",TEXT(A2188,"mmm-yyyy"))</f>
        <v/>
      </c>
    </row>
    <row r="2189">
      <c r="D2189">
        <f>IFERROR(XLOOKUP(C2189,'Vendor Master'!$A$6:$A$15,'Vendor Master'!$B$6:$B$15,""),"")</f>
        <v/>
      </c>
      <c r="J2189">
        <f>IF(A2189="","",TEXT(A2189,"mmm-yyyy"))</f>
        <v/>
      </c>
    </row>
    <row r="2190">
      <c r="D2190">
        <f>IFERROR(XLOOKUP(C2190,'Vendor Master'!$A$6:$A$15,'Vendor Master'!$B$6:$B$15,""),"")</f>
        <v/>
      </c>
      <c r="J2190">
        <f>IF(A2190="","",TEXT(A2190,"mmm-yyyy"))</f>
        <v/>
      </c>
    </row>
    <row r="2191">
      <c r="D2191">
        <f>IFERROR(XLOOKUP(C2191,'Vendor Master'!$A$6:$A$15,'Vendor Master'!$B$6:$B$15,""),"")</f>
        <v/>
      </c>
      <c r="J2191">
        <f>IF(A2191="","",TEXT(A2191,"mmm-yyyy"))</f>
        <v/>
      </c>
    </row>
    <row r="2192">
      <c r="D2192">
        <f>IFERROR(XLOOKUP(C2192,'Vendor Master'!$A$6:$A$15,'Vendor Master'!$B$6:$B$15,""),"")</f>
        <v/>
      </c>
      <c r="J2192">
        <f>IF(A2192="","",TEXT(A2192,"mmm-yyyy"))</f>
        <v/>
      </c>
    </row>
    <row r="2193">
      <c r="D2193">
        <f>IFERROR(XLOOKUP(C2193,'Vendor Master'!$A$6:$A$15,'Vendor Master'!$B$6:$B$15,""),"")</f>
        <v/>
      </c>
      <c r="J2193">
        <f>IF(A2193="","",TEXT(A2193,"mmm-yyyy"))</f>
        <v/>
      </c>
    </row>
    <row r="2194">
      <c r="D2194">
        <f>IFERROR(XLOOKUP(C2194,'Vendor Master'!$A$6:$A$15,'Vendor Master'!$B$6:$B$15,""),"")</f>
        <v/>
      </c>
      <c r="J2194">
        <f>IF(A2194="","",TEXT(A2194,"mmm-yyyy"))</f>
        <v/>
      </c>
    </row>
    <row r="2195">
      <c r="D2195">
        <f>IFERROR(XLOOKUP(C2195,'Vendor Master'!$A$6:$A$15,'Vendor Master'!$B$6:$B$15,""),"")</f>
        <v/>
      </c>
      <c r="J2195">
        <f>IF(A2195="","",TEXT(A2195,"mmm-yyyy"))</f>
        <v/>
      </c>
    </row>
    <row r="2196">
      <c r="D2196">
        <f>IFERROR(XLOOKUP(C2196,'Vendor Master'!$A$6:$A$15,'Vendor Master'!$B$6:$B$15,""),"")</f>
        <v/>
      </c>
      <c r="J2196">
        <f>IF(A2196="","",TEXT(A2196,"mmm-yyyy"))</f>
        <v/>
      </c>
    </row>
    <row r="2197">
      <c r="D2197">
        <f>IFERROR(XLOOKUP(C2197,'Vendor Master'!$A$6:$A$15,'Vendor Master'!$B$6:$B$15,""),"")</f>
        <v/>
      </c>
      <c r="J2197">
        <f>IF(A2197="","",TEXT(A2197,"mmm-yyyy"))</f>
        <v/>
      </c>
    </row>
    <row r="2198">
      <c r="D2198">
        <f>IFERROR(XLOOKUP(C2198,'Vendor Master'!$A$6:$A$15,'Vendor Master'!$B$6:$B$15,""),"")</f>
        <v/>
      </c>
      <c r="J2198">
        <f>IF(A2198="","",TEXT(A2198,"mmm-yyyy"))</f>
        <v/>
      </c>
    </row>
    <row r="2199">
      <c r="D2199">
        <f>IFERROR(XLOOKUP(C2199,'Vendor Master'!$A$6:$A$15,'Vendor Master'!$B$6:$B$15,""),"")</f>
        <v/>
      </c>
      <c r="J2199">
        <f>IF(A2199="","",TEXT(A2199,"mmm-yyyy"))</f>
        <v/>
      </c>
    </row>
    <row r="2200">
      <c r="D2200">
        <f>IFERROR(XLOOKUP(C2200,'Vendor Master'!$A$6:$A$15,'Vendor Master'!$B$6:$B$15,""),"")</f>
        <v/>
      </c>
      <c r="J2200">
        <f>IF(A2200="","",TEXT(A2200,"mmm-yyyy"))</f>
        <v/>
      </c>
    </row>
    <row r="2201">
      <c r="D2201">
        <f>IFERROR(XLOOKUP(C2201,'Vendor Master'!$A$6:$A$15,'Vendor Master'!$B$6:$B$15,""),"")</f>
        <v/>
      </c>
      <c r="J2201">
        <f>IF(A2201="","",TEXT(A2201,"mmm-yyyy"))</f>
        <v/>
      </c>
    </row>
    <row r="2202">
      <c r="D2202">
        <f>IFERROR(XLOOKUP(C2202,'Vendor Master'!$A$6:$A$15,'Vendor Master'!$B$6:$B$15,""),"")</f>
        <v/>
      </c>
      <c r="J2202">
        <f>IF(A2202="","",TEXT(A2202,"mmm-yyyy"))</f>
        <v/>
      </c>
    </row>
    <row r="2203">
      <c r="D2203">
        <f>IFERROR(XLOOKUP(C2203,'Vendor Master'!$A$6:$A$15,'Vendor Master'!$B$6:$B$15,""),"")</f>
        <v/>
      </c>
      <c r="J2203">
        <f>IF(A2203="","",TEXT(A2203,"mmm-yyyy"))</f>
        <v/>
      </c>
    </row>
    <row r="2204">
      <c r="D2204">
        <f>IFERROR(XLOOKUP(C2204,'Vendor Master'!$A$6:$A$15,'Vendor Master'!$B$6:$B$15,""),"")</f>
        <v/>
      </c>
      <c r="J2204">
        <f>IF(A2204="","",TEXT(A2204,"mmm-yyyy"))</f>
        <v/>
      </c>
    </row>
    <row r="2205">
      <c r="D2205">
        <f>IFERROR(XLOOKUP(C2205,'Vendor Master'!$A$6:$A$15,'Vendor Master'!$B$6:$B$15,""),"")</f>
        <v/>
      </c>
      <c r="J2205">
        <f>IF(A2205="","",TEXT(A2205,"mmm-yyyy"))</f>
        <v/>
      </c>
    </row>
    <row r="2206">
      <c r="D2206">
        <f>IFERROR(XLOOKUP(C2206,'Vendor Master'!$A$6:$A$15,'Vendor Master'!$B$6:$B$15,""),"")</f>
        <v/>
      </c>
      <c r="J2206">
        <f>IF(A2206="","",TEXT(A2206,"mmm-yyyy"))</f>
        <v/>
      </c>
    </row>
    <row r="2207">
      <c r="D2207">
        <f>IFERROR(XLOOKUP(C2207,'Vendor Master'!$A$6:$A$15,'Vendor Master'!$B$6:$B$15,""),"")</f>
        <v/>
      </c>
      <c r="J2207">
        <f>IF(A2207="","",TEXT(A2207,"mmm-yyyy"))</f>
        <v/>
      </c>
    </row>
    <row r="2208">
      <c r="D2208">
        <f>IFERROR(XLOOKUP(C2208,'Vendor Master'!$A$6:$A$15,'Vendor Master'!$B$6:$B$15,""),"")</f>
        <v/>
      </c>
      <c r="J2208">
        <f>IF(A2208="","",TEXT(A2208,"mmm-yyyy"))</f>
        <v/>
      </c>
    </row>
    <row r="2209">
      <c r="D2209">
        <f>IFERROR(XLOOKUP(C2209,'Vendor Master'!$A$6:$A$15,'Vendor Master'!$B$6:$B$15,""),"")</f>
        <v/>
      </c>
      <c r="J2209">
        <f>IF(A2209="","",TEXT(A2209,"mmm-yyyy"))</f>
        <v/>
      </c>
    </row>
    <row r="2210">
      <c r="D2210">
        <f>IFERROR(XLOOKUP(C2210,'Vendor Master'!$A$6:$A$15,'Vendor Master'!$B$6:$B$15,""),"")</f>
        <v/>
      </c>
      <c r="J2210">
        <f>IF(A2210="","",TEXT(A2210,"mmm-yyyy"))</f>
        <v/>
      </c>
    </row>
    <row r="2211">
      <c r="D2211">
        <f>IFERROR(XLOOKUP(C2211,'Vendor Master'!$A$6:$A$15,'Vendor Master'!$B$6:$B$15,""),"")</f>
        <v/>
      </c>
      <c r="J2211">
        <f>IF(A2211="","",TEXT(A2211,"mmm-yyyy"))</f>
        <v/>
      </c>
    </row>
    <row r="2212">
      <c r="D2212">
        <f>IFERROR(XLOOKUP(C2212,'Vendor Master'!$A$6:$A$15,'Vendor Master'!$B$6:$B$15,""),"")</f>
        <v/>
      </c>
      <c r="J2212">
        <f>IF(A2212="","",TEXT(A2212,"mmm-yyyy"))</f>
        <v/>
      </c>
    </row>
    <row r="2213">
      <c r="D2213">
        <f>IFERROR(XLOOKUP(C2213,'Vendor Master'!$A$6:$A$15,'Vendor Master'!$B$6:$B$15,""),"")</f>
        <v/>
      </c>
      <c r="J2213">
        <f>IF(A2213="","",TEXT(A2213,"mmm-yyyy"))</f>
        <v/>
      </c>
    </row>
    <row r="2214">
      <c r="D2214">
        <f>IFERROR(XLOOKUP(C2214,'Vendor Master'!$A$6:$A$15,'Vendor Master'!$B$6:$B$15,""),"")</f>
        <v/>
      </c>
      <c r="J2214">
        <f>IF(A2214="","",TEXT(A2214,"mmm-yyyy"))</f>
        <v/>
      </c>
    </row>
    <row r="2215">
      <c r="D2215">
        <f>IFERROR(XLOOKUP(C2215,'Vendor Master'!$A$6:$A$15,'Vendor Master'!$B$6:$B$15,""),"")</f>
        <v/>
      </c>
      <c r="J2215">
        <f>IF(A2215="","",TEXT(A2215,"mmm-yyyy"))</f>
        <v/>
      </c>
    </row>
    <row r="2216">
      <c r="D2216">
        <f>IFERROR(XLOOKUP(C2216,'Vendor Master'!$A$6:$A$15,'Vendor Master'!$B$6:$B$15,""),"")</f>
        <v/>
      </c>
      <c r="J2216">
        <f>IF(A2216="","",TEXT(A2216,"mmm-yyyy"))</f>
        <v/>
      </c>
    </row>
    <row r="2217">
      <c r="D2217">
        <f>IFERROR(XLOOKUP(C2217,'Vendor Master'!$A$6:$A$15,'Vendor Master'!$B$6:$B$15,""),"")</f>
        <v/>
      </c>
      <c r="J2217">
        <f>IF(A2217="","",TEXT(A2217,"mmm-yyyy"))</f>
        <v/>
      </c>
    </row>
    <row r="2218">
      <c r="D2218">
        <f>IFERROR(XLOOKUP(C2218,'Vendor Master'!$A$6:$A$15,'Vendor Master'!$B$6:$B$15,""),"")</f>
        <v/>
      </c>
      <c r="J2218">
        <f>IF(A2218="","",TEXT(A2218,"mmm-yyyy"))</f>
        <v/>
      </c>
    </row>
    <row r="2219">
      <c r="D2219">
        <f>IFERROR(XLOOKUP(C2219,'Vendor Master'!$A$6:$A$15,'Vendor Master'!$B$6:$B$15,""),"")</f>
        <v/>
      </c>
      <c r="J2219">
        <f>IF(A2219="","",TEXT(A2219,"mmm-yyyy"))</f>
        <v/>
      </c>
    </row>
    <row r="2220">
      <c r="D2220">
        <f>IFERROR(XLOOKUP(C2220,'Vendor Master'!$A$6:$A$15,'Vendor Master'!$B$6:$B$15,""),"")</f>
        <v/>
      </c>
      <c r="J2220">
        <f>IF(A2220="","",TEXT(A2220,"mmm-yyyy"))</f>
        <v/>
      </c>
    </row>
    <row r="2221">
      <c r="D2221">
        <f>IFERROR(XLOOKUP(C2221,'Vendor Master'!$A$6:$A$15,'Vendor Master'!$B$6:$B$15,""),"")</f>
        <v/>
      </c>
      <c r="J2221">
        <f>IF(A2221="","",TEXT(A2221,"mmm-yyyy"))</f>
        <v/>
      </c>
    </row>
    <row r="2222">
      <c r="D2222">
        <f>IFERROR(XLOOKUP(C2222,'Vendor Master'!$A$6:$A$15,'Vendor Master'!$B$6:$B$15,""),"")</f>
        <v/>
      </c>
      <c r="J2222">
        <f>IF(A2222="","",TEXT(A2222,"mmm-yyyy"))</f>
        <v/>
      </c>
    </row>
    <row r="2223">
      <c r="D2223">
        <f>IFERROR(XLOOKUP(C2223,'Vendor Master'!$A$6:$A$15,'Vendor Master'!$B$6:$B$15,""),"")</f>
        <v/>
      </c>
      <c r="J2223">
        <f>IF(A2223="","",TEXT(A2223,"mmm-yyyy"))</f>
        <v/>
      </c>
    </row>
    <row r="2224">
      <c r="D2224">
        <f>IFERROR(XLOOKUP(C2224,'Vendor Master'!$A$6:$A$15,'Vendor Master'!$B$6:$B$15,""),"")</f>
        <v/>
      </c>
      <c r="J2224">
        <f>IF(A2224="","",TEXT(A2224,"mmm-yyyy"))</f>
        <v/>
      </c>
    </row>
    <row r="2225">
      <c r="D2225">
        <f>IFERROR(XLOOKUP(C2225,'Vendor Master'!$A$6:$A$15,'Vendor Master'!$B$6:$B$15,""),"")</f>
        <v/>
      </c>
      <c r="J2225">
        <f>IF(A2225="","",TEXT(A2225,"mmm-yyyy"))</f>
        <v/>
      </c>
    </row>
    <row r="2226">
      <c r="D2226">
        <f>IFERROR(XLOOKUP(C2226,'Vendor Master'!$A$6:$A$15,'Vendor Master'!$B$6:$B$15,""),"")</f>
        <v/>
      </c>
      <c r="J2226">
        <f>IF(A2226="","",TEXT(A2226,"mmm-yyyy"))</f>
        <v/>
      </c>
    </row>
    <row r="2227">
      <c r="D2227">
        <f>IFERROR(XLOOKUP(C2227,'Vendor Master'!$A$6:$A$15,'Vendor Master'!$B$6:$B$15,""),"")</f>
        <v/>
      </c>
      <c r="J2227">
        <f>IF(A2227="","",TEXT(A2227,"mmm-yyyy"))</f>
        <v/>
      </c>
    </row>
    <row r="2228">
      <c r="D2228">
        <f>IFERROR(XLOOKUP(C2228,'Vendor Master'!$A$6:$A$15,'Vendor Master'!$B$6:$B$15,""),"")</f>
        <v/>
      </c>
      <c r="J2228">
        <f>IF(A2228="","",TEXT(A2228,"mmm-yyyy"))</f>
        <v/>
      </c>
    </row>
    <row r="2229">
      <c r="D2229">
        <f>IFERROR(XLOOKUP(C2229,'Vendor Master'!$A$6:$A$15,'Vendor Master'!$B$6:$B$15,""),"")</f>
        <v/>
      </c>
      <c r="J2229">
        <f>IF(A2229="","",TEXT(A2229,"mmm-yyyy"))</f>
        <v/>
      </c>
    </row>
    <row r="2230">
      <c r="D2230">
        <f>IFERROR(XLOOKUP(C2230,'Vendor Master'!$A$6:$A$15,'Vendor Master'!$B$6:$B$15,""),"")</f>
        <v/>
      </c>
      <c r="J2230">
        <f>IF(A2230="","",TEXT(A2230,"mmm-yyyy"))</f>
        <v/>
      </c>
    </row>
    <row r="2231">
      <c r="D2231">
        <f>IFERROR(XLOOKUP(C2231,'Vendor Master'!$A$6:$A$15,'Vendor Master'!$B$6:$B$15,""),"")</f>
        <v/>
      </c>
      <c r="J2231">
        <f>IF(A2231="","",TEXT(A2231,"mmm-yyyy"))</f>
        <v/>
      </c>
    </row>
    <row r="2232">
      <c r="D2232">
        <f>IFERROR(XLOOKUP(C2232,'Vendor Master'!$A$6:$A$15,'Vendor Master'!$B$6:$B$15,""),"")</f>
        <v/>
      </c>
      <c r="J2232">
        <f>IF(A2232="","",TEXT(A2232,"mmm-yyyy"))</f>
        <v/>
      </c>
    </row>
    <row r="2233">
      <c r="D2233">
        <f>IFERROR(XLOOKUP(C2233,'Vendor Master'!$A$6:$A$15,'Vendor Master'!$B$6:$B$15,""),"")</f>
        <v/>
      </c>
      <c r="J2233">
        <f>IF(A2233="","",TEXT(A2233,"mmm-yyyy"))</f>
        <v/>
      </c>
    </row>
    <row r="2234">
      <c r="D2234">
        <f>IFERROR(XLOOKUP(C2234,'Vendor Master'!$A$6:$A$15,'Vendor Master'!$B$6:$B$15,""),"")</f>
        <v/>
      </c>
      <c r="J2234">
        <f>IF(A2234="","",TEXT(A2234,"mmm-yyyy"))</f>
        <v/>
      </c>
    </row>
    <row r="2235">
      <c r="D2235">
        <f>IFERROR(XLOOKUP(C2235,'Vendor Master'!$A$6:$A$15,'Vendor Master'!$B$6:$B$15,""),"")</f>
        <v/>
      </c>
      <c r="J2235">
        <f>IF(A2235="","",TEXT(A2235,"mmm-yyyy"))</f>
        <v/>
      </c>
    </row>
    <row r="2236">
      <c r="D2236">
        <f>IFERROR(XLOOKUP(C2236,'Vendor Master'!$A$6:$A$15,'Vendor Master'!$B$6:$B$15,""),"")</f>
        <v/>
      </c>
      <c r="J2236">
        <f>IF(A2236="","",TEXT(A2236,"mmm-yyyy"))</f>
        <v/>
      </c>
    </row>
    <row r="2237">
      <c r="D2237">
        <f>IFERROR(XLOOKUP(C2237,'Vendor Master'!$A$6:$A$15,'Vendor Master'!$B$6:$B$15,""),"")</f>
        <v/>
      </c>
      <c r="J2237">
        <f>IF(A2237="","",TEXT(A2237,"mmm-yyyy"))</f>
        <v/>
      </c>
    </row>
    <row r="2238">
      <c r="D2238">
        <f>IFERROR(XLOOKUP(C2238,'Vendor Master'!$A$6:$A$15,'Vendor Master'!$B$6:$B$15,""),"")</f>
        <v/>
      </c>
      <c r="J2238">
        <f>IF(A2238="","",TEXT(A2238,"mmm-yyyy"))</f>
        <v/>
      </c>
    </row>
    <row r="2239">
      <c r="D2239">
        <f>IFERROR(XLOOKUP(C2239,'Vendor Master'!$A$6:$A$15,'Vendor Master'!$B$6:$B$15,""),"")</f>
        <v/>
      </c>
      <c r="J2239">
        <f>IF(A2239="","",TEXT(A2239,"mmm-yyyy"))</f>
        <v/>
      </c>
    </row>
    <row r="2240">
      <c r="D2240">
        <f>IFERROR(XLOOKUP(C2240,'Vendor Master'!$A$6:$A$15,'Vendor Master'!$B$6:$B$15,""),"")</f>
        <v/>
      </c>
      <c r="J2240">
        <f>IF(A2240="","",TEXT(A2240,"mmm-yyyy"))</f>
        <v/>
      </c>
    </row>
    <row r="2241">
      <c r="D2241">
        <f>IFERROR(XLOOKUP(C2241,'Vendor Master'!$A$6:$A$15,'Vendor Master'!$B$6:$B$15,""),"")</f>
        <v/>
      </c>
      <c r="J2241">
        <f>IF(A2241="","",TEXT(A2241,"mmm-yyyy"))</f>
        <v/>
      </c>
    </row>
    <row r="2242">
      <c r="D2242">
        <f>IFERROR(XLOOKUP(C2242,'Vendor Master'!$A$6:$A$15,'Vendor Master'!$B$6:$B$15,""),"")</f>
        <v/>
      </c>
      <c r="J2242">
        <f>IF(A2242="","",TEXT(A2242,"mmm-yyyy"))</f>
        <v/>
      </c>
    </row>
    <row r="2243">
      <c r="D2243">
        <f>IFERROR(XLOOKUP(C2243,'Vendor Master'!$A$6:$A$15,'Vendor Master'!$B$6:$B$15,""),"")</f>
        <v/>
      </c>
      <c r="J2243">
        <f>IF(A2243="","",TEXT(A2243,"mmm-yyyy"))</f>
        <v/>
      </c>
    </row>
    <row r="2244">
      <c r="D2244">
        <f>IFERROR(XLOOKUP(C2244,'Vendor Master'!$A$6:$A$15,'Vendor Master'!$B$6:$B$15,""),"")</f>
        <v/>
      </c>
      <c r="J2244">
        <f>IF(A2244="","",TEXT(A2244,"mmm-yyyy"))</f>
        <v/>
      </c>
    </row>
    <row r="2245">
      <c r="D2245">
        <f>IFERROR(XLOOKUP(C2245,'Vendor Master'!$A$6:$A$15,'Vendor Master'!$B$6:$B$15,""),"")</f>
        <v/>
      </c>
      <c r="J2245">
        <f>IF(A2245="","",TEXT(A2245,"mmm-yyyy"))</f>
        <v/>
      </c>
    </row>
    <row r="2246">
      <c r="D2246">
        <f>IFERROR(XLOOKUP(C2246,'Vendor Master'!$A$6:$A$15,'Vendor Master'!$B$6:$B$15,""),"")</f>
        <v/>
      </c>
      <c r="J2246">
        <f>IF(A2246="","",TEXT(A2246,"mmm-yyyy"))</f>
        <v/>
      </c>
    </row>
    <row r="2247">
      <c r="D2247">
        <f>IFERROR(XLOOKUP(C2247,'Vendor Master'!$A$6:$A$15,'Vendor Master'!$B$6:$B$15,""),"")</f>
        <v/>
      </c>
      <c r="J2247">
        <f>IF(A2247="","",TEXT(A2247,"mmm-yyyy"))</f>
        <v/>
      </c>
    </row>
    <row r="2248">
      <c r="D2248">
        <f>IFERROR(XLOOKUP(C2248,'Vendor Master'!$A$6:$A$15,'Vendor Master'!$B$6:$B$15,""),"")</f>
        <v/>
      </c>
      <c r="J2248">
        <f>IF(A2248="","",TEXT(A2248,"mmm-yyyy"))</f>
        <v/>
      </c>
    </row>
    <row r="2249">
      <c r="D2249">
        <f>IFERROR(XLOOKUP(C2249,'Vendor Master'!$A$6:$A$15,'Vendor Master'!$B$6:$B$15,""),"")</f>
        <v/>
      </c>
      <c r="J2249">
        <f>IF(A2249="","",TEXT(A2249,"mmm-yyyy"))</f>
        <v/>
      </c>
    </row>
    <row r="2250">
      <c r="D2250">
        <f>IFERROR(XLOOKUP(C2250,'Vendor Master'!$A$6:$A$15,'Vendor Master'!$B$6:$B$15,""),"")</f>
        <v/>
      </c>
      <c r="J2250">
        <f>IF(A2250="","",TEXT(A2250,"mmm-yyyy"))</f>
        <v/>
      </c>
    </row>
    <row r="2251">
      <c r="D2251">
        <f>IFERROR(XLOOKUP(C2251,'Vendor Master'!$A$6:$A$15,'Vendor Master'!$B$6:$B$15,""),"")</f>
        <v/>
      </c>
      <c r="J2251">
        <f>IF(A2251="","",TEXT(A2251,"mmm-yyyy"))</f>
        <v/>
      </c>
    </row>
    <row r="2252">
      <c r="D2252">
        <f>IFERROR(XLOOKUP(C2252,'Vendor Master'!$A$6:$A$15,'Vendor Master'!$B$6:$B$15,""),"")</f>
        <v/>
      </c>
      <c r="J2252">
        <f>IF(A2252="","",TEXT(A2252,"mmm-yyyy"))</f>
        <v/>
      </c>
    </row>
    <row r="2253">
      <c r="D2253">
        <f>IFERROR(XLOOKUP(C2253,'Vendor Master'!$A$6:$A$15,'Vendor Master'!$B$6:$B$15,""),"")</f>
        <v/>
      </c>
      <c r="J2253">
        <f>IF(A2253="","",TEXT(A2253,"mmm-yyyy"))</f>
        <v/>
      </c>
    </row>
    <row r="2254">
      <c r="D2254">
        <f>IFERROR(XLOOKUP(C2254,'Vendor Master'!$A$6:$A$15,'Vendor Master'!$B$6:$B$15,""),"")</f>
        <v/>
      </c>
      <c r="J2254">
        <f>IF(A2254="","",TEXT(A2254,"mmm-yyyy"))</f>
        <v/>
      </c>
    </row>
    <row r="2255">
      <c r="D2255">
        <f>IFERROR(XLOOKUP(C2255,'Vendor Master'!$A$6:$A$15,'Vendor Master'!$B$6:$B$15,""),"")</f>
        <v/>
      </c>
      <c r="J2255">
        <f>IF(A2255="","",TEXT(A2255,"mmm-yyyy"))</f>
        <v/>
      </c>
    </row>
    <row r="2256">
      <c r="D2256">
        <f>IFERROR(XLOOKUP(C2256,'Vendor Master'!$A$6:$A$15,'Vendor Master'!$B$6:$B$15,""),"")</f>
        <v/>
      </c>
      <c r="J2256">
        <f>IF(A2256="","",TEXT(A2256,"mmm-yyyy"))</f>
        <v/>
      </c>
    </row>
    <row r="2257">
      <c r="D2257">
        <f>IFERROR(XLOOKUP(C2257,'Vendor Master'!$A$6:$A$15,'Vendor Master'!$B$6:$B$15,""),"")</f>
        <v/>
      </c>
      <c r="J2257">
        <f>IF(A2257="","",TEXT(A2257,"mmm-yyyy"))</f>
        <v/>
      </c>
    </row>
    <row r="2258">
      <c r="D2258">
        <f>IFERROR(XLOOKUP(C2258,'Vendor Master'!$A$6:$A$15,'Vendor Master'!$B$6:$B$15,""),"")</f>
        <v/>
      </c>
      <c r="J2258">
        <f>IF(A2258="","",TEXT(A2258,"mmm-yyyy"))</f>
        <v/>
      </c>
    </row>
    <row r="2259">
      <c r="D2259">
        <f>IFERROR(XLOOKUP(C2259,'Vendor Master'!$A$6:$A$15,'Vendor Master'!$B$6:$B$15,""),"")</f>
        <v/>
      </c>
      <c r="J2259">
        <f>IF(A2259="","",TEXT(A2259,"mmm-yyyy"))</f>
        <v/>
      </c>
    </row>
    <row r="2260">
      <c r="D2260">
        <f>IFERROR(XLOOKUP(C2260,'Vendor Master'!$A$6:$A$15,'Vendor Master'!$B$6:$B$15,""),"")</f>
        <v/>
      </c>
      <c r="J2260">
        <f>IF(A2260="","",TEXT(A2260,"mmm-yyyy"))</f>
        <v/>
      </c>
    </row>
    <row r="2261">
      <c r="D2261">
        <f>IFERROR(XLOOKUP(C2261,'Vendor Master'!$A$6:$A$15,'Vendor Master'!$B$6:$B$15,""),"")</f>
        <v/>
      </c>
      <c r="J2261">
        <f>IF(A2261="","",TEXT(A2261,"mmm-yyyy"))</f>
        <v/>
      </c>
    </row>
    <row r="2262">
      <c r="D2262">
        <f>IFERROR(XLOOKUP(C2262,'Vendor Master'!$A$6:$A$15,'Vendor Master'!$B$6:$B$15,""),"")</f>
        <v/>
      </c>
      <c r="J2262">
        <f>IF(A2262="","",TEXT(A2262,"mmm-yyyy"))</f>
        <v/>
      </c>
    </row>
    <row r="2263">
      <c r="D2263">
        <f>IFERROR(XLOOKUP(C2263,'Vendor Master'!$A$6:$A$15,'Vendor Master'!$B$6:$B$15,""),"")</f>
        <v/>
      </c>
      <c r="J2263">
        <f>IF(A2263="","",TEXT(A2263,"mmm-yyyy"))</f>
        <v/>
      </c>
    </row>
    <row r="2264">
      <c r="D2264">
        <f>IFERROR(XLOOKUP(C2264,'Vendor Master'!$A$6:$A$15,'Vendor Master'!$B$6:$B$15,""),"")</f>
        <v/>
      </c>
      <c r="J2264">
        <f>IF(A2264="","",TEXT(A2264,"mmm-yyyy"))</f>
        <v/>
      </c>
    </row>
    <row r="2265">
      <c r="D2265">
        <f>IFERROR(XLOOKUP(C2265,'Vendor Master'!$A$6:$A$15,'Vendor Master'!$B$6:$B$15,""),"")</f>
        <v/>
      </c>
      <c r="J2265">
        <f>IF(A2265="","",TEXT(A2265,"mmm-yyyy"))</f>
        <v/>
      </c>
    </row>
    <row r="2266">
      <c r="D2266">
        <f>IFERROR(XLOOKUP(C2266,'Vendor Master'!$A$6:$A$15,'Vendor Master'!$B$6:$B$15,""),"")</f>
        <v/>
      </c>
      <c r="J2266">
        <f>IF(A2266="","",TEXT(A2266,"mmm-yyyy"))</f>
        <v/>
      </c>
    </row>
    <row r="2267">
      <c r="D2267">
        <f>IFERROR(XLOOKUP(C2267,'Vendor Master'!$A$6:$A$15,'Vendor Master'!$B$6:$B$15,""),"")</f>
        <v/>
      </c>
      <c r="J2267">
        <f>IF(A2267="","",TEXT(A2267,"mmm-yyyy"))</f>
        <v/>
      </c>
    </row>
    <row r="2268">
      <c r="D2268">
        <f>IFERROR(XLOOKUP(C2268,'Vendor Master'!$A$6:$A$15,'Vendor Master'!$B$6:$B$15,""),"")</f>
        <v/>
      </c>
      <c r="J2268">
        <f>IF(A2268="","",TEXT(A2268,"mmm-yyyy"))</f>
        <v/>
      </c>
    </row>
    <row r="2269">
      <c r="D2269">
        <f>IFERROR(XLOOKUP(C2269,'Vendor Master'!$A$6:$A$15,'Vendor Master'!$B$6:$B$15,""),"")</f>
        <v/>
      </c>
      <c r="J2269">
        <f>IF(A2269="","",TEXT(A2269,"mmm-yyyy"))</f>
        <v/>
      </c>
    </row>
    <row r="2270">
      <c r="D2270">
        <f>IFERROR(XLOOKUP(C2270,'Vendor Master'!$A$6:$A$15,'Vendor Master'!$B$6:$B$15,""),"")</f>
        <v/>
      </c>
      <c r="J2270">
        <f>IF(A2270="","",TEXT(A2270,"mmm-yyyy"))</f>
        <v/>
      </c>
    </row>
    <row r="2271">
      <c r="D2271">
        <f>IFERROR(XLOOKUP(C2271,'Vendor Master'!$A$6:$A$15,'Vendor Master'!$B$6:$B$15,""),"")</f>
        <v/>
      </c>
      <c r="J2271">
        <f>IF(A2271="","",TEXT(A2271,"mmm-yyyy"))</f>
        <v/>
      </c>
    </row>
    <row r="2272">
      <c r="D2272">
        <f>IFERROR(XLOOKUP(C2272,'Vendor Master'!$A$6:$A$15,'Vendor Master'!$B$6:$B$15,""),"")</f>
        <v/>
      </c>
      <c r="J2272">
        <f>IF(A2272="","",TEXT(A2272,"mmm-yyyy"))</f>
        <v/>
      </c>
    </row>
    <row r="2273">
      <c r="D2273">
        <f>IFERROR(XLOOKUP(C2273,'Vendor Master'!$A$6:$A$15,'Vendor Master'!$B$6:$B$15,""),"")</f>
        <v/>
      </c>
      <c r="J2273">
        <f>IF(A2273="","",TEXT(A2273,"mmm-yyyy"))</f>
        <v/>
      </c>
    </row>
    <row r="2274">
      <c r="D2274">
        <f>IFERROR(XLOOKUP(C2274,'Vendor Master'!$A$6:$A$15,'Vendor Master'!$B$6:$B$15,""),"")</f>
        <v/>
      </c>
      <c r="J2274">
        <f>IF(A2274="","",TEXT(A2274,"mmm-yyyy"))</f>
        <v/>
      </c>
    </row>
    <row r="2275">
      <c r="D2275">
        <f>IFERROR(XLOOKUP(C2275,'Vendor Master'!$A$6:$A$15,'Vendor Master'!$B$6:$B$15,""),"")</f>
        <v/>
      </c>
      <c r="J2275">
        <f>IF(A2275="","",TEXT(A2275,"mmm-yyyy"))</f>
        <v/>
      </c>
    </row>
    <row r="2276">
      <c r="D2276">
        <f>IFERROR(XLOOKUP(C2276,'Vendor Master'!$A$6:$A$15,'Vendor Master'!$B$6:$B$15,""),"")</f>
        <v/>
      </c>
      <c r="J2276">
        <f>IF(A2276="","",TEXT(A2276,"mmm-yyyy"))</f>
        <v/>
      </c>
    </row>
    <row r="2277">
      <c r="D2277">
        <f>IFERROR(XLOOKUP(C2277,'Vendor Master'!$A$6:$A$15,'Vendor Master'!$B$6:$B$15,""),"")</f>
        <v/>
      </c>
      <c r="J2277">
        <f>IF(A2277="","",TEXT(A2277,"mmm-yyyy"))</f>
        <v/>
      </c>
    </row>
    <row r="2278">
      <c r="D2278">
        <f>IFERROR(XLOOKUP(C2278,'Vendor Master'!$A$6:$A$15,'Vendor Master'!$B$6:$B$15,""),"")</f>
        <v/>
      </c>
      <c r="J2278">
        <f>IF(A2278="","",TEXT(A2278,"mmm-yyyy"))</f>
        <v/>
      </c>
    </row>
    <row r="2279">
      <c r="D2279">
        <f>IFERROR(XLOOKUP(C2279,'Vendor Master'!$A$6:$A$15,'Vendor Master'!$B$6:$B$15,""),"")</f>
        <v/>
      </c>
      <c r="J2279">
        <f>IF(A2279="","",TEXT(A2279,"mmm-yyyy"))</f>
        <v/>
      </c>
    </row>
    <row r="2280">
      <c r="D2280">
        <f>IFERROR(XLOOKUP(C2280,'Vendor Master'!$A$6:$A$15,'Vendor Master'!$B$6:$B$15,""),"")</f>
        <v/>
      </c>
      <c r="J2280">
        <f>IF(A2280="","",TEXT(A2280,"mmm-yyyy"))</f>
        <v/>
      </c>
    </row>
    <row r="2281">
      <c r="D2281">
        <f>IFERROR(XLOOKUP(C2281,'Vendor Master'!$A$6:$A$15,'Vendor Master'!$B$6:$B$15,""),"")</f>
        <v/>
      </c>
      <c r="J2281">
        <f>IF(A2281="","",TEXT(A2281,"mmm-yyyy"))</f>
        <v/>
      </c>
    </row>
    <row r="2282">
      <c r="D2282">
        <f>IFERROR(XLOOKUP(C2282,'Vendor Master'!$A$6:$A$15,'Vendor Master'!$B$6:$B$15,""),"")</f>
        <v/>
      </c>
      <c r="J2282">
        <f>IF(A2282="","",TEXT(A2282,"mmm-yyyy"))</f>
        <v/>
      </c>
    </row>
    <row r="2283">
      <c r="D2283">
        <f>IFERROR(XLOOKUP(C2283,'Vendor Master'!$A$6:$A$15,'Vendor Master'!$B$6:$B$15,""),"")</f>
        <v/>
      </c>
      <c r="J2283">
        <f>IF(A2283="","",TEXT(A2283,"mmm-yyyy"))</f>
        <v/>
      </c>
    </row>
    <row r="2284">
      <c r="D2284">
        <f>IFERROR(XLOOKUP(C2284,'Vendor Master'!$A$6:$A$15,'Vendor Master'!$B$6:$B$15,""),"")</f>
        <v/>
      </c>
      <c r="J2284">
        <f>IF(A2284="","",TEXT(A2284,"mmm-yyyy"))</f>
        <v/>
      </c>
    </row>
    <row r="2285">
      <c r="D2285">
        <f>IFERROR(XLOOKUP(C2285,'Vendor Master'!$A$6:$A$15,'Vendor Master'!$B$6:$B$15,""),"")</f>
        <v/>
      </c>
      <c r="J2285">
        <f>IF(A2285="","",TEXT(A2285,"mmm-yyyy"))</f>
        <v/>
      </c>
    </row>
    <row r="2286">
      <c r="D2286">
        <f>IFERROR(XLOOKUP(C2286,'Vendor Master'!$A$6:$A$15,'Vendor Master'!$B$6:$B$15,""),"")</f>
        <v/>
      </c>
      <c r="J2286">
        <f>IF(A2286="","",TEXT(A2286,"mmm-yyyy"))</f>
        <v/>
      </c>
    </row>
    <row r="2287">
      <c r="D2287">
        <f>IFERROR(XLOOKUP(C2287,'Vendor Master'!$A$6:$A$15,'Vendor Master'!$B$6:$B$15,""),"")</f>
        <v/>
      </c>
      <c r="J2287">
        <f>IF(A2287="","",TEXT(A2287,"mmm-yyyy"))</f>
        <v/>
      </c>
    </row>
    <row r="2288">
      <c r="D2288">
        <f>IFERROR(XLOOKUP(C2288,'Vendor Master'!$A$6:$A$15,'Vendor Master'!$B$6:$B$15,""),"")</f>
        <v/>
      </c>
      <c r="J2288">
        <f>IF(A2288="","",TEXT(A2288,"mmm-yyyy"))</f>
        <v/>
      </c>
    </row>
    <row r="2289">
      <c r="D2289">
        <f>IFERROR(XLOOKUP(C2289,'Vendor Master'!$A$6:$A$15,'Vendor Master'!$B$6:$B$15,""),"")</f>
        <v/>
      </c>
      <c r="J2289">
        <f>IF(A2289="","",TEXT(A2289,"mmm-yyyy"))</f>
        <v/>
      </c>
    </row>
    <row r="2290">
      <c r="D2290">
        <f>IFERROR(XLOOKUP(C2290,'Vendor Master'!$A$6:$A$15,'Vendor Master'!$B$6:$B$15,""),"")</f>
        <v/>
      </c>
      <c r="J2290">
        <f>IF(A2290="","",TEXT(A2290,"mmm-yyyy"))</f>
        <v/>
      </c>
    </row>
    <row r="2291">
      <c r="D2291">
        <f>IFERROR(XLOOKUP(C2291,'Vendor Master'!$A$6:$A$15,'Vendor Master'!$B$6:$B$15,""),"")</f>
        <v/>
      </c>
      <c r="J2291">
        <f>IF(A2291="","",TEXT(A2291,"mmm-yyyy"))</f>
        <v/>
      </c>
    </row>
    <row r="2292">
      <c r="D2292">
        <f>IFERROR(XLOOKUP(C2292,'Vendor Master'!$A$6:$A$15,'Vendor Master'!$B$6:$B$15,""),"")</f>
        <v/>
      </c>
      <c r="J2292">
        <f>IF(A2292="","",TEXT(A2292,"mmm-yyyy"))</f>
        <v/>
      </c>
    </row>
    <row r="2293">
      <c r="D2293">
        <f>IFERROR(XLOOKUP(C2293,'Vendor Master'!$A$6:$A$15,'Vendor Master'!$B$6:$B$15,""),"")</f>
        <v/>
      </c>
      <c r="J2293">
        <f>IF(A2293="","",TEXT(A2293,"mmm-yyyy"))</f>
        <v/>
      </c>
    </row>
    <row r="2294">
      <c r="D2294">
        <f>IFERROR(XLOOKUP(C2294,'Vendor Master'!$A$6:$A$15,'Vendor Master'!$B$6:$B$15,""),"")</f>
        <v/>
      </c>
      <c r="J2294">
        <f>IF(A2294="","",TEXT(A2294,"mmm-yyyy"))</f>
        <v/>
      </c>
    </row>
    <row r="2295">
      <c r="D2295">
        <f>IFERROR(XLOOKUP(C2295,'Vendor Master'!$A$6:$A$15,'Vendor Master'!$B$6:$B$15,""),"")</f>
        <v/>
      </c>
      <c r="J2295">
        <f>IF(A2295="","",TEXT(A2295,"mmm-yyyy"))</f>
        <v/>
      </c>
    </row>
    <row r="2296">
      <c r="D2296">
        <f>IFERROR(XLOOKUP(C2296,'Vendor Master'!$A$6:$A$15,'Vendor Master'!$B$6:$B$15,""),"")</f>
        <v/>
      </c>
      <c r="J2296">
        <f>IF(A2296="","",TEXT(A2296,"mmm-yyyy"))</f>
        <v/>
      </c>
    </row>
    <row r="2297">
      <c r="D2297">
        <f>IFERROR(XLOOKUP(C2297,'Vendor Master'!$A$6:$A$15,'Vendor Master'!$B$6:$B$15,""),"")</f>
        <v/>
      </c>
      <c r="J2297">
        <f>IF(A2297="","",TEXT(A2297,"mmm-yyyy"))</f>
        <v/>
      </c>
    </row>
    <row r="2298">
      <c r="D2298">
        <f>IFERROR(XLOOKUP(C2298,'Vendor Master'!$A$6:$A$15,'Vendor Master'!$B$6:$B$15,""),"")</f>
        <v/>
      </c>
      <c r="J2298">
        <f>IF(A2298="","",TEXT(A2298,"mmm-yyyy"))</f>
        <v/>
      </c>
    </row>
    <row r="2299">
      <c r="D2299">
        <f>IFERROR(XLOOKUP(C2299,'Vendor Master'!$A$6:$A$15,'Vendor Master'!$B$6:$B$15,""),"")</f>
        <v/>
      </c>
      <c r="J2299">
        <f>IF(A2299="","",TEXT(A2299,"mmm-yyyy"))</f>
        <v/>
      </c>
    </row>
    <row r="2300">
      <c r="D2300">
        <f>IFERROR(XLOOKUP(C2300,'Vendor Master'!$A$6:$A$15,'Vendor Master'!$B$6:$B$15,""),"")</f>
        <v/>
      </c>
      <c r="J2300">
        <f>IF(A2300="","",TEXT(A2300,"mmm-yyyy"))</f>
        <v/>
      </c>
    </row>
    <row r="2301">
      <c r="D2301">
        <f>IFERROR(XLOOKUP(C2301,'Vendor Master'!$A$6:$A$15,'Vendor Master'!$B$6:$B$15,""),"")</f>
        <v/>
      </c>
      <c r="J2301">
        <f>IF(A2301="","",TEXT(A2301,"mmm-yyyy"))</f>
        <v/>
      </c>
    </row>
    <row r="2302">
      <c r="D2302">
        <f>IFERROR(XLOOKUP(C2302,'Vendor Master'!$A$6:$A$15,'Vendor Master'!$B$6:$B$15,""),"")</f>
        <v/>
      </c>
      <c r="J2302">
        <f>IF(A2302="","",TEXT(A2302,"mmm-yyyy"))</f>
        <v/>
      </c>
    </row>
    <row r="2303">
      <c r="D2303">
        <f>IFERROR(XLOOKUP(C2303,'Vendor Master'!$A$6:$A$15,'Vendor Master'!$B$6:$B$15,""),"")</f>
        <v/>
      </c>
      <c r="J2303">
        <f>IF(A2303="","",TEXT(A2303,"mmm-yyyy"))</f>
        <v/>
      </c>
    </row>
    <row r="2304">
      <c r="D2304">
        <f>IFERROR(XLOOKUP(C2304,'Vendor Master'!$A$6:$A$15,'Vendor Master'!$B$6:$B$15,""),"")</f>
        <v/>
      </c>
      <c r="J2304">
        <f>IF(A2304="","",TEXT(A2304,"mmm-yyyy"))</f>
        <v/>
      </c>
    </row>
    <row r="2305">
      <c r="D2305">
        <f>IFERROR(XLOOKUP(C2305,'Vendor Master'!$A$6:$A$15,'Vendor Master'!$B$6:$B$15,""),"")</f>
        <v/>
      </c>
      <c r="J2305">
        <f>IF(A2305="","",TEXT(A2305,"mmm-yyyy"))</f>
        <v/>
      </c>
    </row>
    <row r="2306">
      <c r="D2306">
        <f>IFERROR(XLOOKUP(C2306,'Vendor Master'!$A$6:$A$15,'Vendor Master'!$B$6:$B$15,""),"")</f>
        <v/>
      </c>
      <c r="J2306">
        <f>IF(A2306="","",TEXT(A2306,"mmm-yyyy"))</f>
        <v/>
      </c>
    </row>
    <row r="2307">
      <c r="D2307">
        <f>IFERROR(XLOOKUP(C2307,'Vendor Master'!$A$6:$A$15,'Vendor Master'!$B$6:$B$15,""),"")</f>
        <v/>
      </c>
      <c r="J2307">
        <f>IF(A2307="","",TEXT(A2307,"mmm-yyyy"))</f>
        <v/>
      </c>
    </row>
    <row r="2308">
      <c r="D2308">
        <f>IFERROR(XLOOKUP(C2308,'Vendor Master'!$A$6:$A$15,'Vendor Master'!$B$6:$B$15,""),"")</f>
        <v/>
      </c>
      <c r="J2308">
        <f>IF(A2308="","",TEXT(A2308,"mmm-yyyy"))</f>
        <v/>
      </c>
    </row>
    <row r="2309">
      <c r="D2309">
        <f>IFERROR(XLOOKUP(C2309,'Vendor Master'!$A$6:$A$15,'Vendor Master'!$B$6:$B$15,""),"")</f>
        <v/>
      </c>
      <c r="J2309">
        <f>IF(A2309="","",TEXT(A2309,"mmm-yyyy"))</f>
        <v/>
      </c>
    </row>
    <row r="2310">
      <c r="D2310">
        <f>IFERROR(XLOOKUP(C2310,'Vendor Master'!$A$6:$A$15,'Vendor Master'!$B$6:$B$15,""),"")</f>
        <v/>
      </c>
      <c r="J2310">
        <f>IF(A2310="","",TEXT(A2310,"mmm-yyyy"))</f>
        <v/>
      </c>
    </row>
    <row r="2311">
      <c r="D2311">
        <f>IFERROR(XLOOKUP(C2311,'Vendor Master'!$A$6:$A$15,'Vendor Master'!$B$6:$B$15,""),"")</f>
        <v/>
      </c>
      <c r="J2311">
        <f>IF(A2311="","",TEXT(A2311,"mmm-yyyy"))</f>
        <v/>
      </c>
    </row>
    <row r="2312">
      <c r="D2312">
        <f>IFERROR(XLOOKUP(C2312,'Vendor Master'!$A$6:$A$15,'Vendor Master'!$B$6:$B$15,""),"")</f>
        <v/>
      </c>
      <c r="J2312">
        <f>IF(A2312="","",TEXT(A2312,"mmm-yyyy"))</f>
        <v/>
      </c>
    </row>
    <row r="2313">
      <c r="D2313">
        <f>IFERROR(XLOOKUP(C2313,'Vendor Master'!$A$6:$A$15,'Vendor Master'!$B$6:$B$15,""),"")</f>
        <v/>
      </c>
      <c r="J2313">
        <f>IF(A2313="","",TEXT(A2313,"mmm-yyyy"))</f>
        <v/>
      </c>
    </row>
    <row r="2314">
      <c r="D2314">
        <f>IFERROR(XLOOKUP(C2314,'Vendor Master'!$A$6:$A$15,'Vendor Master'!$B$6:$B$15,""),"")</f>
        <v/>
      </c>
      <c r="J2314">
        <f>IF(A2314="","",TEXT(A2314,"mmm-yyyy"))</f>
        <v/>
      </c>
    </row>
    <row r="2315">
      <c r="D2315">
        <f>IFERROR(XLOOKUP(C2315,'Vendor Master'!$A$6:$A$15,'Vendor Master'!$B$6:$B$15,""),"")</f>
        <v/>
      </c>
      <c r="J2315">
        <f>IF(A2315="","",TEXT(A2315,"mmm-yyyy"))</f>
        <v/>
      </c>
    </row>
    <row r="2316">
      <c r="D2316">
        <f>IFERROR(XLOOKUP(C2316,'Vendor Master'!$A$6:$A$15,'Vendor Master'!$B$6:$B$15,""),"")</f>
        <v/>
      </c>
      <c r="J2316">
        <f>IF(A2316="","",TEXT(A2316,"mmm-yyyy"))</f>
        <v/>
      </c>
    </row>
    <row r="2317">
      <c r="D2317">
        <f>IFERROR(XLOOKUP(C2317,'Vendor Master'!$A$6:$A$15,'Vendor Master'!$B$6:$B$15,""),"")</f>
        <v/>
      </c>
      <c r="J2317">
        <f>IF(A2317="","",TEXT(A2317,"mmm-yyyy"))</f>
        <v/>
      </c>
    </row>
    <row r="2318">
      <c r="D2318">
        <f>IFERROR(XLOOKUP(C2318,'Vendor Master'!$A$6:$A$15,'Vendor Master'!$B$6:$B$15,""),"")</f>
        <v/>
      </c>
      <c r="J2318">
        <f>IF(A2318="","",TEXT(A2318,"mmm-yyyy"))</f>
        <v/>
      </c>
    </row>
    <row r="2319">
      <c r="D2319">
        <f>IFERROR(XLOOKUP(C2319,'Vendor Master'!$A$6:$A$15,'Vendor Master'!$B$6:$B$15,""),"")</f>
        <v/>
      </c>
      <c r="J2319">
        <f>IF(A2319="","",TEXT(A2319,"mmm-yyyy"))</f>
        <v/>
      </c>
    </row>
    <row r="2320">
      <c r="D2320">
        <f>IFERROR(XLOOKUP(C2320,'Vendor Master'!$A$6:$A$15,'Vendor Master'!$B$6:$B$15,""),"")</f>
        <v/>
      </c>
      <c r="J2320">
        <f>IF(A2320="","",TEXT(A2320,"mmm-yyyy"))</f>
        <v/>
      </c>
    </row>
    <row r="2321">
      <c r="D2321">
        <f>IFERROR(XLOOKUP(C2321,'Vendor Master'!$A$6:$A$15,'Vendor Master'!$B$6:$B$15,""),"")</f>
        <v/>
      </c>
      <c r="J2321">
        <f>IF(A2321="","",TEXT(A2321,"mmm-yyyy"))</f>
        <v/>
      </c>
    </row>
    <row r="2322">
      <c r="D2322">
        <f>IFERROR(XLOOKUP(C2322,'Vendor Master'!$A$6:$A$15,'Vendor Master'!$B$6:$B$15,""),"")</f>
        <v/>
      </c>
      <c r="J2322">
        <f>IF(A2322="","",TEXT(A2322,"mmm-yyyy"))</f>
        <v/>
      </c>
    </row>
    <row r="2323">
      <c r="D2323">
        <f>IFERROR(XLOOKUP(C2323,'Vendor Master'!$A$6:$A$15,'Vendor Master'!$B$6:$B$15,""),"")</f>
        <v/>
      </c>
      <c r="J2323">
        <f>IF(A2323="","",TEXT(A2323,"mmm-yyyy"))</f>
        <v/>
      </c>
    </row>
    <row r="2324">
      <c r="D2324">
        <f>IFERROR(XLOOKUP(C2324,'Vendor Master'!$A$6:$A$15,'Vendor Master'!$B$6:$B$15,""),"")</f>
        <v/>
      </c>
      <c r="J2324">
        <f>IF(A2324="","",TEXT(A2324,"mmm-yyyy"))</f>
        <v/>
      </c>
    </row>
    <row r="2325">
      <c r="D2325">
        <f>IFERROR(XLOOKUP(C2325,'Vendor Master'!$A$6:$A$15,'Vendor Master'!$B$6:$B$15,""),"")</f>
        <v/>
      </c>
      <c r="J2325">
        <f>IF(A2325="","",TEXT(A2325,"mmm-yyyy"))</f>
        <v/>
      </c>
    </row>
    <row r="2326">
      <c r="D2326">
        <f>IFERROR(XLOOKUP(C2326,'Vendor Master'!$A$6:$A$15,'Vendor Master'!$B$6:$B$15,""),"")</f>
        <v/>
      </c>
      <c r="J2326">
        <f>IF(A2326="","",TEXT(A2326,"mmm-yyyy"))</f>
        <v/>
      </c>
    </row>
    <row r="2327">
      <c r="D2327">
        <f>IFERROR(XLOOKUP(C2327,'Vendor Master'!$A$6:$A$15,'Vendor Master'!$B$6:$B$15,""),"")</f>
        <v/>
      </c>
      <c r="J2327">
        <f>IF(A2327="","",TEXT(A2327,"mmm-yyyy"))</f>
        <v/>
      </c>
    </row>
    <row r="2328">
      <c r="D2328">
        <f>IFERROR(XLOOKUP(C2328,'Vendor Master'!$A$6:$A$15,'Vendor Master'!$B$6:$B$15,""),"")</f>
        <v/>
      </c>
      <c r="J2328">
        <f>IF(A2328="","",TEXT(A2328,"mmm-yyyy"))</f>
        <v/>
      </c>
    </row>
    <row r="2329">
      <c r="D2329">
        <f>IFERROR(XLOOKUP(C2329,'Vendor Master'!$A$6:$A$15,'Vendor Master'!$B$6:$B$15,""),"")</f>
        <v/>
      </c>
      <c r="J2329">
        <f>IF(A2329="","",TEXT(A2329,"mmm-yyyy"))</f>
        <v/>
      </c>
    </row>
    <row r="2330">
      <c r="D2330">
        <f>IFERROR(XLOOKUP(C2330,'Vendor Master'!$A$6:$A$15,'Vendor Master'!$B$6:$B$15,""),"")</f>
        <v/>
      </c>
      <c r="J2330">
        <f>IF(A2330="","",TEXT(A2330,"mmm-yyyy"))</f>
        <v/>
      </c>
    </row>
    <row r="2331">
      <c r="D2331">
        <f>IFERROR(XLOOKUP(C2331,'Vendor Master'!$A$6:$A$15,'Vendor Master'!$B$6:$B$15,""),"")</f>
        <v/>
      </c>
      <c r="J2331">
        <f>IF(A2331="","",TEXT(A2331,"mmm-yyyy"))</f>
        <v/>
      </c>
    </row>
    <row r="2332">
      <c r="D2332">
        <f>IFERROR(XLOOKUP(C2332,'Vendor Master'!$A$6:$A$15,'Vendor Master'!$B$6:$B$15,""),"")</f>
        <v/>
      </c>
      <c r="J2332">
        <f>IF(A2332="","",TEXT(A2332,"mmm-yyyy"))</f>
        <v/>
      </c>
    </row>
    <row r="2333">
      <c r="D2333">
        <f>IFERROR(XLOOKUP(C2333,'Vendor Master'!$A$6:$A$15,'Vendor Master'!$B$6:$B$15,""),"")</f>
        <v/>
      </c>
      <c r="J2333">
        <f>IF(A2333="","",TEXT(A2333,"mmm-yyyy"))</f>
        <v/>
      </c>
    </row>
    <row r="2334">
      <c r="D2334">
        <f>IFERROR(XLOOKUP(C2334,'Vendor Master'!$A$6:$A$15,'Vendor Master'!$B$6:$B$15,""),"")</f>
        <v/>
      </c>
      <c r="J2334">
        <f>IF(A2334="","",TEXT(A2334,"mmm-yyyy"))</f>
        <v/>
      </c>
    </row>
    <row r="2335">
      <c r="D2335">
        <f>IFERROR(XLOOKUP(C2335,'Vendor Master'!$A$6:$A$15,'Vendor Master'!$B$6:$B$15,""),"")</f>
        <v/>
      </c>
      <c r="J2335">
        <f>IF(A2335="","",TEXT(A2335,"mmm-yyyy"))</f>
        <v/>
      </c>
    </row>
    <row r="2336">
      <c r="D2336">
        <f>IFERROR(XLOOKUP(C2336,'Vendor Master'!$A$6:$A$15,'Vendor Master'!$B$6:$B$15,""),"")</f>
        <v/>
      </c>
      <c r="J2336">
        <f>IF(A2336="","",TEXT(A2336,"mmm-yyyy"))</f>
        <v/>
      </c>
    </row>
    <row r="2337">
      <c r="D2337">
        <f>IFERROR(XLOOKUP(C2337,'Vendor Master'!$A$6:$A$15,'Vendor Master'!$B$6:$B$15,""),"")</f>
        <v/>
      </c>
      <c r="J2337">
        <f>IF(A2337="","",TEXT(A2337,"mmm-yyyy"))</f>
        <v/>
      </c>
    </row>
    <row r="2338">
      <c r="D2338">
        <f>IFERROR(XLOOKUP(C2338,'Vendor Master'!$A$6:$A$15,'Vendor Master'!$B$6:$B$15,""),"")</f>
        <v/>
      </c>
      <c r="J2338">
        <f>IF(A2338="","",TEXT(A2338,"mmm-yyyy"))</f>
        <v/>
      </c>
    </row>
    <row r="2339">
      <c r="D2339">
        <f>IFERROR(XLOOKUP(C2339,'Vendor Master'!$A$6:$A$15,'Vendor Master'!$B$6:$B$15,""),"")</f>
        <v/>
      </c>
      <c r="J2339">
        <f>IF(A2339="","",TEXT(A2339,"mmm-yyyy"))</f>
        <v/>
      </c>
    </row>
    <row r="2340">
      <c r="D2340">
        <f>IFERROR(XLOOKUP(C2340,'Vendor Master'!$A$6:$A$15,'Vendor Master'!$B$6:$B$15,""),"")</f>
        <v/>
      </c>
      <c r="J2340">
        <f>IF(A2340="","",TEXT(A2340,"mmm-yyyy"))</f>
        <v/>
      </c>
    </row>
    <row r="2341">
      <c r="D2341">
        <f>IFERROR(XLOOKUP(C2341,'Vendor Master'!$A$6:$A$15,'Vendor Master'!$B$6:$B$15,""),"")</f>
        <v/>
      </c>
      <c r="J2341">
        <f>IF(A2341="","",TEXT(A2341,"mmm-yyyy"))</f>
        <v/>
      </c>
    </row>
    <row r="2342">
      <c r="D2342">
        <f>IFERROR(XLOOKUP(C2342,'Vendor Master'!$A$6:$A$15,'Vendor Master'!$B$6:$B$15,""),"")</f>
        <v/>
      </c>
      <c r="J2342">
        <f>IF(A2342="","",TEXT(A2342,"mmm-yyyy"))</f>
        <v/>
      </c>
    </row>
    <row r="2343">
      <c r="D2343">
        <f>IFERROR(XLOOKUP(C2343,'Vendor Master'!$A$6:$A$15,'Vendor Master'!$B$6:$B$15,""),"")</f>
        <v/>
      </c>
      <c r="J2343">
        <f>IF(A2343="","",TEXT(A2343,"mmm-yyyy"))</f>
        <v/>
      </c>
    </row>
    <row r="2344">
      <c r="D2344">
        <f>IFERROR(XLOOKUP(C2344,'Vendor Master'!$A$6:$A$15,'Vendor Master'!$B$6:$B$15,""),"")</f>
        <v/>
      </c>
      <c r="J2344">
        <f>IF(A2344="","",TEXT(A2344,"mmm-yyyy"))</f>
        <v/>
      </c>
    </row>
    <row r="2345">
      <c r="D2345">
        <f>IFERROR(XLOOKUP(C2345,'Vendor Master'!$A$6:$A$15,'Vendor Master'!$B$6:$B$15,""),"")</f>
        <v/>
      </c>
      <c r="J2345">
        <f>IF(A2345="","",TEXT(A2345,"mmm-yyyy"))</f>
        <v/>
      </c>
    </row>
    <row r="2346">
      <c r="D2346">
        <f>IFERROR(XLOOKUP(C2346,'Vendor Master'!$A$6:$A$15,'Vendor Master'!$B$6:$B$15,""),"")</f>
        <v/>
      </c>
      <c r="J2346">
        <f>IF(A2346="","",TEXT(A2346,"mmm-yyyy"))</f>
        <v/>
      </c>
    </row>
    <row r="2347">
      <c r="D2347">
        <f>IFERROR(XLOOKUP(C2347,'Vendor Master'!$A$6:$A$15,'Vendor Master'!$B$6:$B$15,""),"")</f>
        <v/>
      </c>
      <c r="J2347">
        <f>IF(A2347="","",TEXT(A2347,"mmm-yyyy"))</f>
        <v/>
      </c>
    </row>
    <row r="2348">
      <c r="D2348">
        <f>IFERROR(XLOOKUP(C2348,'Vendor Master'!$A$6:$A$15,'Vendor Master'!$B$6:$B$15,""),"")</f>
        <v/>
      </c>
      <c r="J2348">
        <f>IF(A2348="","",TEXT(A2348,"mmm-yyyy"))</f>
        <v/>
      </c>
    </row>
    <row r="2349">
      <c r="D2349">
        <f>IFERROR(XLOOKUP(C2349,'Vendor Master'!$A$6:$A$15,'Vendor Master'!$B$6:$B$15,""),"")</f>
        <v/>
      </c>
      <c r="J2349">
        <f>IF(A2349="","",TEXT(A2349,"mmm-yyyy"))</f>
        <v/>
      </c>
    </row>
    <row r="2350">
      <c r="D2350">
        <f>IFERROR(XLOOKUP(C2350,'Vendor Master'!$A$6:$A$15,'Vendor Master'!$B$6:$B$15,""),"")</f>
        <v/>
      </c>
      <c r="J2350">
        <f>IF(A2350="","",TEXT(A2350,"mmm-yyyy"))</f>
        <v/>
      </c>
    </row>
    <row r="2351">
      <c r="D2351">
        <f>IFERROR(XLOOKUP(C2351,'Vendor Master'!$A$6:$A$15,'Vendor Master'!$B$6:$B$15,""),"")</f>
        <v/>
      </c>
      <c r="J2351">
        <f>IF(A2351="","",TEXT(A2351,"mmm-yyyy"))</f>
        <v/>
      </c>
    </row>
    <row r="2352">
      <c r="D2352">
        <f>IFERROR(XLOOKUP(C2352,'Vendor Master'!$A$6:$A$15,'Vendor Master'!$B$6:$B$15,""),"")</f>
        <v/>
      </c>
      <c r="J2352">
        <f>IF(A2352="","",TEXT(A2352,"mmm-yyyy"))</f>
        <v/>
      </c>
    </row>
    <row r="2353">
      <c r="D2353">
        <f>IFERROR(XLOOKUP(C2353,'Vendor Master'!$A$6:$A$15,'Vendor Master'!$B$6:$B$15,""),"")</f>
        <v/>
      </c>
      <c r="J2353">
        <f>IF(A2353="","",TEXT(A2353,"mmm-yyyy"))</f>
        <v/>
      </c>
    </row>
    <row r="2354">
      <c r="D2354">
        <f>IFERROR(XLOOKUP(C2354,'Vendor Master'!$A$6:$A$15,'Vendor Master'!$B$6:$B$15,""),"")</f>
        <v/>
      </c>
      <c r="J2354">
        <f>IF(A2354="","",TEXT(A2354,"mmm-yyyy"))</f>
        <v/>
      </c>
    </row>
    <row r="2355">
      <c r="D2355">
        <f>IFERROR(XLOOKUP(C2355,'Vendor Master'!$A$6:$A$15,'Vendor Master'!$B$6:$B$15,""),"")</f>
        <v/>
      </c>
      <c r="J2355">
        <f>IF(A2355="","",TEXT(A2355,"mmm-yyyy"))</f>
        <v/>
      </c>
    </row>
    <row r="2356">
      <c r="D2356">
        <f>IFERROR(XLOOKUP(C2356,'Vendor Master'!$A$6:$A$15,'Vendor Master'!$B$6:$B$15,""),"")</f>
        <v/>
      </c>
      <c r="J2356">
        <f>IF(A2356="","",TEXT(A2356,"mmm-yyyy"))</f>
        <v/>
      </c>
    </row>
    <row r="2357">
      <c r="D2357">
        <f>IFERROR(XLOOKUP(C2357,'Vendor Master'!$A$6:$A$15,'Vendor Master'!$B$6:$B$15,""),"")</f>
        <v/>
      </c>
      <c r="J2357">
        <f>IF(A2357="","",TEXT(A2357,"mmm-yyyy"))</f>
        <v/>
      </c>
    </row>
    <row r="2358">
      <c r="D2358">
        <f>IFERROR(XLOOKUP(C2358,'Vendor Master'!$A$6:$A$15,'Vendor Master'!$B$6:$B$15,""),"")</f>
        <v/>
      </c>
      <c r="J2358">
        <f>IF(A2358="","",TEXT(A2358,"mmm-yyyy"))</f>
        <v/>
      </c>
    </row>
    <row r="2359">
      <c r="D2359">
        <f>IFERROR(XLOOKUP(C2359,'Vendor Master'!$A$6:$A$15,'Vendor Master'!$B$6:$B$15,""),"")</f>
        <v/>
      </c>
      <c r="J2359">
        <f>IF(A2359="","",TEXT(A2359,"mmm-yyyy"))</f>
        <v/>
      </c>
    </row>
    <row r="2360">
      <c r="D2360">
        <f>IFERROR(XLOOKUP(C2360,'Vendor Master'!$A$6:$A$15,'Vendor Master'!$B$6:$B$15,""),"")</f>
        <v/>
      </c>
      <c r="J2360">
        <f>IF(A2360="","",TEXT(A2360,"mmm-yyyy"))</f>
        <v/>
      </c>
    </row>
    <row r="2361">
      <c r="D2361">
        <f>IFERROR(XLOOKUP(C2361,'Vendor Master'!$A$6:$A$15,'Vendor Master'!$B$6:$B$15,""),"")</f>
        <v/>
      </c>
      <c r="J2361">
        <f>IF(A2361="","",TEXT(A2361,"mmm-yyyy"))</f>
        <v/>
      </c>
    </row>
    <row r="2362">
      <c r="D2362">
        <f>IFERROR(XLOOKUP(C2362,'Vendor Master'!$A$6:$A$15,'Vendor Master'!$B$6:$B$15,""),"")</f>
        <v/>
      </c>
      <c r="J2362">
        <f>IF(A2362="","",TEXT(A2362,"mmm-yyyy"))</f>
        <v/>
      </c>
    </row>
    <row r="2363">
      <c r="D2363">
        <f>IFERROR(XLOOKUP(C2363,'Vendor Master'!$A$6:$A$15,'Vendor Master'!$B$6:$B$15,""),"")</f>
        <v/>
      </c>
      <c r="J2363">
        <f>IF(A2363="","",TEXT(A2363,"mmm-yyyy"))</f>
        <v/>
      </c>
    </row>
    <row r="2364">
      <c r="D2364">
        <f>IFERROR(XLOOKUP(C2364,'Vendor Master'!$A$6:$A$15,'Vendor Master'!$B$6:$B$15,""),"")</f>
        <v/>
      </c>
      <c r="J2364">
        <f>IF(A2364="","",TEXT(A2364,"mmm-yyyy"))</f>
        <v/>
      </c>
    </row>
    <row r="2365">
      <c r="D2365">
        <f>IFERROR(XLOOKUP(C2365,'Vendor Master'!$A$6:$A$15,'Vendor Master'!$B$6:$B$15,""),"")</f>
        <v/>
      </c>
      <c r="J2365">
        <f>IF(A2365="","",TEXT(A2365,"mmm-yyyy"))</f>
        <v/>
      </c>
    </row>
    <row r="2366">
      <c r="D2366">
        <f>IFERROR(XLOOKUP(C2366,'Vendor Master'!$A$6:$A$15,'Vendor Master'!$B$6:$B$15,""),"")</f>
        <v/>
      </c>
      <c r="J2366">
        <f>IF(A2366="","",TEXT(A2366,"mmm-yyyy"))</f>
        <v/>
      </c>
    </row>
    <row r="2367">
      <c r="D2367">
        <f>IFERROR(XLOOKUP(C2367,'Vendor Master'!$A$6:$A$15,'Vendor Master'!$B$6:$B$15,""),"")</f>
        <v/>
      </c>
      <c r="J2367">
        <f>IF(A2367="","",TEXT(A2367,"mmm-yyyy"))</f>
        <v/>
      </c>
    </row>
    <row r="2368">
      <c r="D2368">
        <f>IFERROR(XLOOKUP(C2368,'Vendor Master'!$A$6:$A$15,'Vendor Master'!$B$6:$B$15,""),"")</f>
        <v/>
      </c>
      <c r="J2368">
        <f>IF(A2368="","",TEXT(A2368,"mmm-yyyy"))</f>
        <v/>
      </c>
    </row>
    <row r="2369">
      <c r="D2369">
        <f>IFERROR(XLOOKUP(C2369,'Vendor Master'!$A$6:$A$15,'Vendor Master'!$B$6:$B$15,""),"")</f>
        <v/>
      </c>
      <c r="J2369">
        <f>IF(A2369="","",TEXT(A2369,"mmm-yyyy"))</f>
        <v/>
      </c>
    </row>
    <row r="2370">
      <c r="D2370">
        <f>IFERROR(XLOOKUP(C2370,'Vendor Master'!$A$6:$A$15,'Vendor Master'!$B$6:$B$15,""),"")</f>
        <v/>
      </c>
      <c r="J2370">
        <f>IF(A2370="","",TEXT(A2370,"mmm-yyyy"))</f>
        <v/>
      </c>
    </row>
    <row r="2371">
      <c r="D2371">
        <f>IFERROR(XLOOKUP(C2371,'Vendor Master'!$A$6:$A$15,'Vendor Master'!$B$6:$B$15,""),"")</f>
        <v/>
      </c>
      <c r="J2371">
        <f>IF(A2371="","",TEXT(A2371,"mmm-yyyy"))</f>
        <v/>
      </c>
    </row>
    <row r="2372">
      <c r="D2372">
        <f>IFERROR(XLOOKUP(C2372,'Vendor Master'!$A$6:$A$15,'Vendor Master'!$B$6:$B$15,""),"")</f>
        <v/>
      </c>
      <c r="J2372">
        <f>IF(A2372="","",TEXT(A2372,"mmm-yyyy"))</f>
        <v/>
      </c>
    </row>
    <row r="2373">
      <c r="D2373">
        <f>IFERROR(XLOOKUP(C2373,'Vendor Master'!$A$6:$A$15,'Vendor Master'!$B$6:$B$15,""),"")</f>
        <v/>
      </c>
      <c r="J2373">
        <f>IF(A2373="","",TEXT(A2373,"mmm-yyyy"))</f>
        <v/>
      </c>
    </row>
    <row r="2374">
      <c r="D2374">
        <f>IFERROR(XLOOKUP(C2374,'Vendor Master'!$A$6:$A$15,'Vendor Master'!$B$6:$B$15,""),"")</f>
        <v/>
      </c>
      <c r="J2374">
        <f>IF(A2374="","",TEXT(A2374,"mmm-yyyy"))</f>
        <v/>
      </c>
    </row>
    <row r="2375">
      <c r="D2375">
        <f>IFERROR(XLOOKUP(C2375,'Vendor Master'!$A$6:$A$15,'Vendor Master'!$B$6:$B$15,""),"")</f>
        <v/>
      </c>
      <c r="J2375">
        <f>IF(A2375="","",TEXT(A2375,"mmm-yyyy"))</f>
        <v/>
      </c>
    </row>
    <row r="2376">
      <c r="D2376">
        <f>IFERROR(XLOOKUP(C2376,'Vendor Master'!$A$6:$A$15,'Vendor Master'!$B$6:$B$15,""),"")</f>
        <v/>
      </c>
      <c r="J2376">
        <f>IF(A2376="","",TEXT(A2376,"mmm-yyyy"))</f>
        <v/>
      </c>
    </row>
    <row r="2377">
      <c r="D2377">
        <f>IFERROR(XLOOKUP(C2377,'Vendor Master'!$A$6:$A$15,'Vendor Master'!$B$6:$B$15,""),"")</f>
        <v/>
      </c>
      <c r="J2377">
        <f>IF(A2377="","",TEXT(A2377,"mmm-yyyy"))</f>
        <v/>
      </c>
    </row>
    <row r="2378">
      <c r="D2378">
        <f>IFERROR(XLOOKUP(C2378,'Vendor Master'!$A$6:$A$15,'Vendor Master'!$B$6:$B$15,""),"")</f>
        <v/>
      </c>
      <c r="J2378">
        <f>IF(A2378="","",TEXT(A2378,"mmm-yyyy"))</f>
        <v/>
      </c>
    </row>
    <row r="2379">
      <c r="D2379">
        <f>IFERROR(XLOOKUP(C2379,'Vendor Master'!$A$6:$A$15,'Vendor Master'!$B$6:$B$15,""),"")</f>
        <v/>
      </c>
      <c r="J2379">
        <f>IF(A2379="","",TEXT(A2379,"mmm-yyyy"))</f>
        <v/>
      </c>
    </row>
    <row r="2380">
      <c r="D2380">
        <f>IFERROR(XLOOKUP(C2380,'Vendor Master'!$A$6:$A$15,'Vendor Master'!$B$6:$B$15,""),"")</f>
        <v/>
      </c>
      <c r="J2380">
        <f>IF(A2380="","",TEXT(A2380,"mmm-yyyy"))</f>
        <v/>
      </c>
    </row>
    <row r="2381">
      <c r="D2381">
        <f>IFERROR(XLOOKUP(C2381,'Vendor Master'!$A$6:$A$15,'Vendor Master'!$B$6:$B$15,""),"")</f>
        <v/>
      </c>
      <c r="J2381">
        <f>IF(A2381="","",TEXT(A2381,"mmm-yyyy"))</f>
        <v/>
      </c>
    </row>
    <row r="2382">
      <c r="D2382">
        <f>IFERROR(XLOOKUP(C2382,'Vendor Master'!$A$6:$A$15,'Vendor Master'!$B$6:$B$15,""),"")</f>
        <v/>
      </c>
      <c r="J2382">
        <f>IF(A2382="","",TEXT(A2382,"mmm-yyyy"))</f>
        <v/>
      </c>
    </row>
    <row r="2383">
      <c r="D2383">
        <f>IFERROR(XLOOKUP(C2383,'Vendor Master'!$A$6:$A$15,'Vendor Master'!$B$6:$B$15,""),"")</f>
        <v/>
      </c>
      <c r="J2383">
        <f>IF(A2383="","",TEXT(A2383,"mmm-yyyy"))</f>
        <v/>
      </c>
    </row>
    <row r="2384">
      <c r="D2384">
        <f>IFERROR(XLOOKUP(C2384,'Vendor Master'!$A$6:$A$15,'Vendor Master'!$B$6:$B$15,""),"")</f>
        <v/>
      </c>
      <c r="J2384">
        <f>IF(A2384="","",TEXT(A2384,"mmm-yyyy"))</f>
        <v/>
      </c>
    </row>
    <row r="2385">
      <c r="D2385">
        <f>IFERROR(XLOOKUP(C2385,'Vendor Master'!$A$6:$A$15,'Vendor Master'!$B$6:$B$15,""),"")</f>
        <v/>
      </c>
      <c r="J2385">
        <f>IF(A2385="","",TEXT(A2385,"mmm-yyyy"))</f>
        <v/>
      </c>
    </row>
    <row r="2386">
      <c r="D2386">
        <f>IFERROR(XLOOKUP(C2386,'Vendor Master'!$A$6:$A$15,'Vendor Master'!$B$6:$B$15,""),"")</f>
        <v/>
      </c>
      <c r="J2386">
        <f>IF(A2386="","",TEXT(A2386,"mmm-yyyy"))</f>
        <v/>
      </c>
    </row>
    <row r="2387">
      <c r="D2387">
        <f>IFERROR(XLOOKUP(C2387,'Vendor Master'!$A$6:$A$15,'Vendor Master'!$B$6:$B$15,""),"")</f>
        <v/>
      </c>
      <c r="J2387">
        <f>IF(A2387="","",TEXT(A2387,"mmm-yyyy"))</f>
        <v/>
      </c>
    </row>
    <row r="2388">
      <c r="D2388">
        <f>IFERROR(XLOOKUP(C2388,'Vendor Master'!$A$6:$A$15,'Vendor Master'!$B$6:$B$15,""),"")</f>
        <v/>
      </c>
      <c r="J2388">
        <f>IF(A2388="","",TEXT(A2388,"mmm-yyyy"))</f>
        <v/>
      </c>
    </row>
    <row r="2389">
      <c r="D2389">
        <f>IFERROR(XLOOKUP(C2389,'Vendor Master'!$A$6:$A$15,'Vendor Master'!$B$6:$B$15,""),"")</f>
        <v/>
      </c>
      <c r="J2389">
        <f>IF(A2389="","",TEXT(A2389,"mmm-yyyy"))</f>
        <v/>
      </c>
    </row>
    <row r="2390">
      <c r="D2390">
        <f>IFERROR(XLOOKUP(C2390,'Vendor Master'!$A$6:$A$15,'Vendor Master'!$B$6:$B$15,""),"")</f>
        <v/>
      </c>
      <c r="J2390">
        <f>IF(A2390="","",TEXT(A2390,"mmm-yyyy"))</f>
        <v/>
      </c>
    </row>
    <row r="2391">
      <c r="D2391">
        <f>IFERROR(XLOOKUP(C2391,'Vendor Master'!$A$6:$A$15,'Vendor Master'!$B$6:$B$15,""),"")</f>
        <v/>
      </c>
      <c r="J2391">
        <f>IF(A2391="","",TEXT(A2391,"mmm-yyyy"))</f>
        <v/>
      </c>
    </row>
    <row r="2392">
      <c r="D2392">
        <f>IFERROR(XLOOKUP(C2392,'Vendor Master'!$A$6:$A$15,'Vendor Master'!$B$6:$B$15,""),"")</f>
        <v/>
      </c>
      <c r="J2392">
        <f>IF(A2392="","",TEXT(A2392,"mmm-yyyy"))</f>
        <v/>
      </c>
    </row>
    <row r="2393">
      <c r="D2393">
        <f>IFERROR(XLOOKUP(C2393,'Vendor Master'!$A$6:$A$15,'Vendor Master'!$B$6:$B$15,""),"")</f>
        <v/>
      </c>
      <c r="J2393">
        <f>IF(A2393="","",TEXT(A2393,"mmm-yyyy"))</f>
        <v/>
      </c>
    </row>
    <row r="2394">
      <c r="D2394">
        <f>IFERROR(XLOOKUP(C2394,'Vendor Master'!$A$6:$A$15,'Vendor Master'!$B$6:$B$15,""),"")</f>
        <v/>
      </c>
      <c r="J2394">
        <f>IF(A2394="","",TEXT(A2394,"mmm-yyyy"))</f>
        <v/>
      </c>
    </row>
    <row r="2395">
      <c r="D2395">
        <f>IFERROR(XLOOKUP(C2395,'Vendor Master'!$A$6:$A$15,'Vendor Master'!$B$6:$B$15,""),"")</f>
        <v/>
      </c>
      <c r="J2395">
        <f>IF(A2395="","",TEXT(A2395,"mmm-yyyy"))</f>
        <v/>
      </c>
    </row>
    <row r="2396">
      <c r="D2396">
        <f>IFERROR(XLOOKUP(C2396,'Vendor Master'!$A$6:$A$15,'Vendor Master'!$B$6:$B$15,""),"")</f>
        <v/>
      </c>
      <c r="J2396">
        <f>IF(A2396="","",TEXT(A2396,"mmm-yyyy"))</f>
        <v/>
      </c>
    </row>
    <row r="2397">
      <c r="D2397">
        <f>IFERROR(XLOOKUP(C2397,'Vendor Master'!$A$6:$A$15,'Vendor Master'!$B$6:$B$15,""),"")</f>
        <v/>
      </c>
      <c r="J2397">
        <f>IF(A2397="","",TEXT(A2397,"mmm-yyyy"))</f>
        <v/>
      </c>
    </row>
    <row r="2398">
      <c r="D2398">
        <f>IFERROR(XLOOKUP(C2398,'Vendor Master'!$A$6:$A$15,'Vendor Master'!$B$6:$B$15,""),"")</f>
        <v/>
      </c>
      <c r="J2398">
        <f>IF(A2398="","",TEXT(A2398,"mmm-yyyy"))</f>
        <v/>
      </c>
    </row>
    <row r="2399">
      <c r="D2399">
        <f>IFERROR(XLOOKUP(C2399,'Vendor Master'!$A$6:$A$15,'Vendor Master'!$B$6:$B$15,""),"")</f>
        <v/>
      </c>
      <c r="J2399">
        <f>IF(A2399="","",TEXT(A2399,"mmm-yyyy"))</f>
        <v/>
      </c>
    </row>
    <row r="2400">
      <c r="D2400">
        <f>IFERROR(XLOOKUP(C2400,'Vendor Master'!$A$6:$A$15,'Vendor Master'!$B$6:$B$15,""),"")</f>
        <v/>
      </c>
      <c r="J2400">
        <f>IF(A2400="","",TEXT(A2400,"mmm-yyyy"))</f>
        <v/>
      </c>
    </row>
    <row r="2401">
      <c r="D2401">
        <f>IFERROR(XLOOKUP(C2401,'Vendor Master'!$A$6:$A$15,'Vendor Master'!$B$6:$B$15,""),"")</f>
        <v/>
      </c>
      <c r="J2401">
        <f>IF(A2401="","",TEXT(A2401,"mmm-yyyy"))</f>
        <v/>
      </c>
    </row>
    <row r="2402">
      <c r="D2402">
        <f>IFERROR(XLOOKUP(C2402,'Vendor Master'!$A$6:$A$15,'Vendor Master'!$B$6:$B$15,""),"")</f>
        <v/>
      </c>
      <c r="J2402">
        <f>IF(A2402="","",TEXT(A2402,"mmm-yyyy"))</f>
        <v/>
      </c>
    </row>
    <row r="2403">
      <c r="D2403">
        <f>IFERROR(XLOOKUP(C2403,'Vendor Master'!$A$6:$A$15,'Vendor Master'!$B$6:$B$15,""),"")</f>
        <v/>
      </c>
      <c r="J2403">
        <f>IF(A2403="","",TEXT(A2403,"mmm-yyyy"))</f>
        <v/>
      </c>
    </row>
    <row r="2404">
      <c r="D2404">
        <f>IFERROR(XLOOKUP(C2404,'Vendor Master'!$A$6:$A$15,'Vendor Master'!$B$6:$B$15,""),"")</f>
        <v/>
      </c>
      <c r="J2404">
        <f>IF(A2404="","",TEXT(A2404,"mmm-yyyy"))</f>
        <v/>
      </c>
    </row>
    <row r="2405">
      <c r="D2405">
        <f>IFERROR(XLOOKUP(C2405,'Vendor Master'!$A$6:$A$15,'Vendor Master'!$B$6:$B$15,""),"")</f>
        <v/>
      </c>
      <c r="J2405">
        <f>IF(A2405="","",TEXT(A2405,"mmm-yyyy"))</f>
        <v/>
      </c>
    </row>
    <row r="2406">
      <c r="D2406">
        <f>IFERROR(XLOOKUP(C2406,'Vendor Master'!$A$6:$A$15,'Vendor Master'!$B$6:$B$15,""),"")</f>
        <v/>
      </c>
      <c r="J2406">
        <f>IF(A2406="","",TEXT(A2406,"mmm-yyyy"))</f>
        <v/>
      </c>
    </row>
    <row r="2407">
      <c r="D2407">
        <f>IFERROR(XLOOKUP(C2407,'Vendor Master'!$A$6:$A$15,'Vendor Master'!$B$6:$B$15,""),"")</f>
        <v/>
      </c>
      <c r="J2407">
        <f>IF(A2407="","",TEXT(A2407,"mmm-yyyy"))</f>
        <v/>
      </c>
    </row>
    <row r="2408">
      <c r="D2408">
        <f>IFERROR(XLOOKUP(C2408,'Vendor Master'!$A$6:$A$15,'Vendor Master'!$B$6:$B$15,""),"")</f>
        <v/>
      </c>
      <c r="J2408">
        <f>IF(A2408="","",TEXT(A2408,"mmm-yyyy"))</f>
        <v/>
      </c>
    </row>
    <row r="2409">
      <c r="D2409">
        <f>IFERROR(XLOOKUP(C2409,'Vendor Master'!$A$6:$A$15,'Vendor Master'!$B$6:$B$15,""),"")</f>
        <v/>
      </c>
      <c r="J2409">
        <f>IF(A2409="","",TEXT(A2409,"mmm-yyyy"))</f>
        <v/>
      </c>
    </row>
    <row r="2410">
      <c r="D2410">
        <f>IFERROR(XLOOKUP(C2410,'Vendor Master'!$A$6:$A$15,'Vendor Master'!$B$6:$B$15,""),"")</f>
        <v/>
      </c>
      <c r="J2410">
        <f>IF(A2410="","",TEXT(A2410,"mmm-yyyy"))</f>
        <v/>
      </c>
    </row>
    <row r="2411">
      <c r="D2411">
        <f>IFERROR(XLOOKUP(C2411,'Vendor Master'!$A$6:$A$15,'Vendor Master'!$B$6:$B$15,""),"")</f>
        <v/>
      </c>
      <c r="J2411">
        <f>IF(A2411="","",TEXT(A2411,"mmm-yyyy"))</f>
        <v/>
      </c>
    </row>
    <row r="2412">
      <c r="D2412">
        <f>IFERROR(XLOOKUP(C2412,'Vendor Master'!$A$6:$A$15,'Vendor Master'!$B$6:$B$15,""),"")</f>
        <v/>
      </c>
      <c r="J2412">
        <f>IF(A2412="","",TEXT(A2412,"mmm-yyyy"))</f>
        <v/>
      </c>
    </row>
    <row r="2413">
      <c r="D2413">
        <f>IFERROR(XLOOKUP(C2413,'Vendor Master'!$A$6:$A$15,'Vendor Master'!$B$6:$B$15,""),"")</f>
        <v/>
      </c>
      <c r="J2413">
        <f>IF(A2413="","",TEXT(A2413,"mmm-yyyy"))</f>
        <v/>
      </c>
    </row>
    <row r="2414">
      <c r="D2414">
        <f>IFERROR(XLOOKUP(C2414,'Vendor Master'!$A$6:$A$15,'Vendor Master'!$B$6:$B$15,""),"")</f>
        <v/>
      </c>
      <c r="J2414">
        <f>IF(A2414="","",TEXT(A2414,"mmm-yyyy"))</f>
        <v/>
      </c>
    </row>
    <row r="2415">
      <c r="D2415">
        <f>IFERROR(XLOOKUP(C2415,'Vendor Master'!$A$6:$A$15,'Vendor Master'!$B$6:$B$15,""),"")</f>
        <v/>
      </c>
      <c r="J2415">
        <f>IF(A2415="","",TEXT(A2415,"mmm-yyyy"))</f>
        <v/>
      </c>
    </row>
    <row r="2416">
      <c r="D2416">
        <f>IFERROR(XLOOKUP(C2416,'Vendor Master'!$A$6:$A$15,'Vendor Master'!$B$6:$B$15,""),"")</f>
        <v/>
      </c>
      <c r="J2416">
        <f>IF(A2416="","",TEXT(A2416,"mmm-yyyy"))</f>
        <v/>
      </c>
    </row>
    <row r="2417">
      <c r="D2417">
        <f>IFERROR(XLOOKUP(C2417,'Vendor Master'!$A$6:$A$15,'Vendor Master'!$B$6:$B$15,""),"")</f>
        <v/>
      </c>
      <c r="J2417">
        <f>IF(A2417="","",TEXT(A2417,"mmm-yyyy"))</f>
        <v/>
      </c>
    </row>
    <row r="2418">
      <c r="D2418">
        <f>IFERROR(XLOOKUP(C2418,'Vendor Master'!$A$6:$A$15,'Vendor Master'!$B$6:$B$15,""),"")</f>
        <v/>
      </c>
      <c r="J2418">
        <f>IF(A2418="","",TEXT(A2418,"mmm-yyyy"))</f>
        <v/>
      </c>
    </row>
    <row r="2419">
      <c r="D2419">
        <f>IFERROR(XLOOKUP(C2419,'Vendor Master'!$A$6:$A$15,'Vendor Master'!$B$6:$B$15,""),"")</f>
        <v/>
      </c>
      <c r="J2419">
        <f>IF(A2419="","",TEXT(A2419,"mmm-yyyy"))</f>
        <v/>
      </c>
    </row>
    <row r="2420">
      <c r="D2420">
        <f>IFERROR(XLOOKUP(C2420,'Vendor Master'!$A$6:$A$15,'Vendor Master'!$B$6:$B$15,""),"")</f>
        <v/>
      </c>
      <c r="J2420">
        <f>IF(A2420="","",TEXT(A2420,"mmm-yyyy"))</f>
        <v/>
      </c>
    </row>
    <row r="2421">
      <c r="D2421">
        <f>IFERROR(XLOOKUP(C2421,'Vendor Master'!$A$6:$A$15,'Vendor Master'!$B$6:$B$15,""),"")</f>
        <v/>
      </c>
      <c r="J2421">
        <f>IF(A2421="","",TEXT(A2421,"mmm-yyyy"))</f>
        <v/>
      </c>
    </row>
    <row r="2422">
      <c r="D2422">
        <f>IFERROR(XLOOKUP(C2422,'Vendor Master'!$A$6:$A$15,'Vendor Master'!$B$6:$B$15,""),"")</f>
        <v/>
      </c>
      <c r="J2422">
        <f>IF(A2422="","",TEXT(A2422,"mmm-yyyy"))</f>
        <v/>
      </c>
    </row>
    <row r="2423">
      <c r="D2423">
        <f>IFERROR(XLOOKUP(C2423,'Vendor Master'!$A$6:$A$15,'Vendor Master'!$B$6:$B$15,""),"")</f>
        <v/>
      </c>
      <c r="J2423">
        <f>IF(A2423="","",TEXT(A2423,"mmm-yyyy"))</f>
        <v/>
      </c>
    </row>
    <row r="2424">
      <c r="D2424">
        <f>IFERROR(XLOOKUP(C2424,'Vendor Master'!$A$6:$A$15,'Vendor Master'!$B$6:$B$15,""),"")</f>
        <v/>
      </c>
      <c r="J2424">
        <f>IF(A2424="","",TEXT(A2424,"mmm-yyyy"))</f>
        <v/>
      </c>
    </row>
    <row r="2425">
      <c r="D2425">
        <f>IFERROR(XLOOKUP(C2425,'Vendor Master'!$A$6:$A$15,'Vendor Master'!$B$6:$B$15,""),"")</f>
        <v/>
      </c>
      <c r="J2425">
        <f>IF(A2425="","",TEXT(A2425,"mmm-yyyy"))</f>
        <v/>
      </c>
    </row>
    <row r="2426">
      <c r="D2426">
        <f>IFERROR(XLOOKUP(C2426,'Vendor Master'!$A$6:$A$15,'Vendor Master'!$B$6:$B$15,""),"")</f>
        <v/>
      </c>
      <c r="J2426">
        <f>IF(A2426="","",TEXT(A2426,"mmm-yyyy"))</f>
        <v/>
      </c>
    </row>
    <row r="2427">
      <c r="D2427">
        <f>IFERROR(XLOOKUP(C2427,'Vendor Master'!$A$6:$A$15,'Vendor Master'!$B$6:$B$15,""),"")</f>
        <v/>
      </c>
      <c r="J2427">
        <f>IF(A2427="","",TEXT(A2427,"mmm-yyyy"))</f>
        <v/>
      </c>
    </row>
    <row r="2428">
      <c r="D2428">
        <f>IFERROR(XLOOKUP(C2428,'Vendor Master'!$A$6:$A$15,'Vendor Master'!$B$6:$B$15,""),"")</f>
        <v/>
      </c>
      <c r="J2428">
        <f>IF(A2428="","",TEXT(A2428,"mmm-yyyy"))</f>
        <v/>
      </c>
    </row>
    <row r="2429">
      <c r="D2429">
        <f>IFERROR(XLOOKUP(C2429,'Vendor Master'!$A$6:$A$15,'Vendor Master'!$B$6:$B$15,""),"")</f>
        <v/>
      </c>
      <c r="J2429">
        <f>IF(A2429="","",TEXT(A2429,"mmm-yyyy"))</f>
        <v/>
      </c>
    </row>
    <row r="2430">
      <c r="D2430">
        <f>IFERROR(XLOOKUP(C2430,'Vendor Master'!$A$6:$A$15,'Vendor Master'!$B$6:$B$15,""),"")</f>
        <v/>
      </c>
      <c r="J2430">
        <f>IF(A2430="","",TEXT(A2430,"mmm-yyyy"))</f>
        <v/>
      </c>
    </row>
    <row r="2431">
      <c r="D2431">
        <f>IFERROR(XLOOKUP(C2431,'Vendor Master'!$A$6:$A$15,'Vendor Master'!$B$6:$B$15,""),"")</f>
        <v/>
      </c>
      <c r="J2431">
        <f>IF(A2431="","",TEXT(A2431,"mmm-yyyy"))</f>
        <v/>
      </c>
    </row>
    <row r="2432">
      <c r="D2432">
        <f>IFERROR(XLOOKUP(C2432,'Vendor Master'!$A$6:$A$15,'Vendor Master'!$B$6:$B$15,""),"")</f>
        <v/>
      </c>
      <c r="J2432">
        <f>IF(A2432="","",TEXT(A2432,"mmm-yyyy"))</f>
        <v/>
      </c>
    </row>
    <row r="2433">
      <c r="D2433">
        <f>IFERROR(XLOOKUP(C2433,'Vendor Master'!$A$6:$A$15,'Vendor Master'!$B$6:$B$15,""),"")</f>
        <v/>
      </c>
      <c r="J2433">
        <f>IF(A2433="","",TEXT(A2433,"mmm-yyyy"))</f>
        <v/>
      </c>
    </row>
    <row r="2434">
      <c r="D2434">
        <f>IFERROR(XLOOKUP(C2434,'Vendor Master'!$A$6:$A$15,'Vendor Master'!$B$6:$B$15,""),"")</f>
        <v/>
      </c>
      <c r="J2434">
        <f>IF(A2434="","",TEXT(A2434,"mmm-yyyy"))</f>
        <v/>
      </c>
    </row>
    <row r="2435">
      <c r="D2435">
        <f>IFERROR(XLOOKUP(C2435,'Vendor Master'!$A$6:$A$15,'Vendor Master'!$B$6:$B$15,""),"")</f>
        <v/>
      </c>
      <c r="J2435">
        <f>IF(A2435="","",TEXT(A2435,"mmm-yyyy"))</f>
        <v/>
      </c>
    </row>
    <row r="2436">
      <c r="D2436">
        <f>IFERROR(XLOOKUP(C2436,'Vendor Master'!$A$6:$A$15,'Vendor Master'!$B$6:$B$15,""),"")</f>
        <v/>
      </c>
      <c r="J2436">
        <f>IF(A2436="","",TEXT(A2436,"mmm-yyyy"))</f>
        <v/>
      </c>
    </row>
    <row r="2437">
      <c r="D2437">
        <f>IFERROR(XLOOKUP(C2437,'Vendor Master'!$A$6:$A$15,'Vendor Master'!$B$6:$B$15,""),"")</f>
        <v/>
      </c>
      <c r="J2437">
        <f>IF(A2437="","",TEXT(A2437,"mmm-yyyy"))</f>
        <v/>
      </c>
    </row>
    <row r="2438">
      <c r="D2438">
        <f>IFERROR(XLOOKUP(C2438,'Vendor Master'!$A$6:$A$15,'Vendor Master'!$B$6:$B$15,""),"")</f>
        <v/>
      </c>
      <c r="J2438">
        <f>IF(A2438="","",TEXT(A2438,"mmm-yyyy"))</f>
        <v/>
      </c>
    </row>
    <row r="2439">
      <c r="D2439">
        <f>IFERROR(XLOOKUP(C2439,'Vendor Master'!$A$6:$A$15,'Vendor Master'!$B$6:$B$15,""),"")</f>
        <v/>
      </c>
      <c r="J2439">
        <f>IF(A2439="","",TEXT(A2439,"mmm-yyyy"))</f>
        <v/>
      </c>
    </row>
    <row r="2440">
      <c r="D2440">
        <f>IFERROR(XLOOKUP(C2440,'Vendor Master'!$A$6:$A$15,'Vendor Master'!$B$6:$B$15,""),"")</f>
        <v/>
      </c>
      <c r="J2440">
        <f>IF(A2440="","",TEXT(A2440,"mmm-yyyy"))</f>
        <v/>
      </c>
    </row>
    <row r="2441">
      <c r="D2441">
        <f>IFERROR(XLOOKUP(C2441,'Vendor Master'!$A$6:$A$15,'Vendor Master'!$B$6:$B$15,""),"")</f>
        <v/>
      </c>
      <c r="J2441">
        <f>IF(A2441="","",TEXT(A2441,"mmm-yyyy"))</f>
        <v/>
      </c>
    </row>
    <row r="2442">
      <c r="D2442">
        <f>IFERROR(XLOOKUP(C2442,'Vendor Master'!$A$6:$A$15,'Vendor Master'!$B$6:$B$15,""),"")</f>
        <v/>
      </c>
      <c r="J2442">
        <f>IF(A2442="","",TEXT(A2442,"mmm-yyyy"))</f>
        <v/>
      </c>
    </row>
    <row r="2443">
      <c r="D2443">
        <f>IFERROR(XLOOKUP(C2443,'Vendor Master'!$A$6:$A$15,'Vendor Master'!$B$6:$B$15,""),"")</f>
        <v/>
      </c>
      <c r="J2443">
        <f>IF(A2443="","",TEXT(A2443,"mmm-yyyy"))</f>
        <v/>
      </c>
    </row>
    <row r="2444">
      <c r="D2444">
        <f>IFERROR(XLOOKUP(C2444,'Vendor Master'!$A$6:$A$15,'Vendor Master'!$B$6:$B$15,""),"")</f>
        <v/>
      </c>
      <c r="J2444">
        <f>IF(A2444="","",TEXT(A2444,"mmm-yyyy"))</f>
        <v/>
      </c>
    </row>
    <row r="2445">
      <c r="D2445">
        <f>IFERROR(XLOOKUP(C2445,'Vendor Master'!$A$6:$A$15,'Vendor Master'!$B$6:$B$15,""),"")</f>
        <v/>
      </c>
      <c r="J2445">
        <f>IF(A2445="","",TEXT(A2445,"mmm-yyyy"))</f>
        <v/>
      </c>
    </row>
    <row r="2446">
      <c r="D2446">
        <f>IFERROR(XLOOKUP(C2446,'Vendor Master'!$A$6:$A$15,'Vendor Master'!$B$6:$B$15,""),"")</f>
        <v/>
      </c>
      <c r="J2446">
        <f>IF(A2446="","",TEXT(A2446,"mmm-yyyy"))</f>
        <v/>
      </c>
    </row>
    <row r="2447">
      <c r="D2447">
        <f>IFERROR(XLOOKUP(C2447,'Vendor Master'!$A$6:$A$15,'Vendor Master'!$B$6:$B$15,""),"")</f>
        <v/>
      </c>
      <c r="J2447">
        <f>IF(A2447="","",TEXT(A2447,"mmm-yyyy"))</f>
        <v/>
      </c>
    </row>
    <row r="2448">
      <c r="D2448">
        <f>IFERROR(XLOOKUP(C2448,'Vendor Master'!$A$6:$A$15,'Vendor Master'!$B$6:$B$15,""),"")</f>
        <v/>
      </c>
      <c r="J2448">
        <f>IF(A2448="","",TEXT(A2448,"mmm-yyyy"))</f>
        <v/>
      </c>
    </row>
    <row r="2449">
      <c r="D2449">
        <f>IFERROR(XLOOKUP(C2449,'Vendor Master'!$A$6:$A$15,'Vendor Master'!$B$6:$B$15,""),"")</f>
        <v/>
      </c>
      <c r="J2449">
        <f>IF(A2449="","",TEXT(A2449,"mmm-yyyy"))</f>
        <v/>
      </c>
    </row>
    <row r="2450">
      <c r="D2450">
        <f>IFERROR(XLOOKUP(C2450,'Vendor Master'!$A$6:$A$15,'Vendor Master'!$B$6:$B$15,""),"")</f>
        <v/>
      </c>
      <c r="J2450">
        <f>IF(A2450="","",TEXT(A2450,"mmm-yyyy"))</f>
        <v/>
      </c>
    </row>
    <row r="2451">
      <c r="D2451">
        <f>IFERROR(XLOOKUP(C2451,'Vendor Master'!$A$6:$A$15,'Vendor Master'!$B$6:$B$15,""),"")</f>
        <v/>
      </c>
      <c r="J2451">
        <f>IF(A2451="","",TEXT(A2451,"mmm-yyyy"))</f>
        <v/>
      </c>
    </row>
    <row r="2452">
      <c r="D2452">
        <f>IFERROR(XLOOKUP(C2452,'Vendor Master'!$A$6:$A$15,'Vendor Master'!$B$6:$B$15,""),"")</f>
        <v/>
      </c>
      <c r="J2452">
        <f>IF(A2452="","",TEXT(A2452,"mmm-yyyy"))</f>
        <v/>
      </c>
    </row>
    <row r="2453">
      <c r="D2453">
        <f>IFERROR(XLOOKUP(C2453,'Vendor Master'!$A$6:$A$15,'Vendor Master'!$B$6:$B$15,""),"")</f>
        <v/>
      </c>
      <c r="J2453">
        <f>IF(A2453="","",TEXT(A2453,"mmm-yyyy"))</f>
        <v/>
      </c>
    </row>
    <row r="2454">
      <c r="D2454">
        <f>IFERROR(XLOOKUP(C2454,'Vendor Master'!$A$6:$A$15,'Vendor Master'!$B$6:$B$15,""),"")</f>
        <v/>
      </c>
      <c r="J2454">
        <f>IF(A2454="","",TEXT(A2454,"mmm-yyyy"))</f>
        <v/>
      </c>
    </row>
    <row r="2455">
      <c r="D2455">
        <f>IFERROR(XLOOKUP(C2455,'Vendor Master'!$A$6:$A$15,'Vendor Master'!$B$6:$B$15,""),"")</f>
        <v/>
      </c>
      <c r="J2455">
        <f>IF(A2455="","",TEXT(A2455,"mmm-yyyy"))</f>
        <v/>
      </c>
    </row>
    <row r="2456">
      <c r="D2456">
        <f>IFERROR(XLOOKUP(C2456,'Vendor Master'!$A$6:$A$15,'Vendor Master'!$B$6:$B$15,""),"")</f>
        <v/>
      </c>
      <c r="J2456">
        <f>IF(A2456="","",TEXT(A2456,"mmm-yyyy"))</f>
        <v/>
      </c>
    </row>
    <row r="2457">
      <c r="D2457">
        <f>IFERROR(XLOOKUP(C2457,'Vendor Master'!$A$6:$A$15,'Vendor Master'!$B$6:$B$15,""),"")</f>
        <v/>
      </c>
      <c r="J2457">
        <f>IF(A2457="","",TEXT(A2457,"mmm-yyyy"))</f>
        <v/>
      </c>
    </row>
    <row r="2458">
      <c r="D2458">
        <f>IFERROR(XLOOKUP(C2458,'Vendor Master'!$A$6:$A$15,'Vendor Master'!$B$6:$B$15,""),"")</f>
        <v/>
      </c>
      <c r="J2458">
        <f>IF(A2458="","",TEXT(A2458,"mmm-yyyy"))</f>
        <v/>
      </c>
    </row>
    <row r="2459">
      <c r="D2459">
        <f>IFERROR(XLOOKUP(C2459,'Vendor Master'!$A$6:$A$15,'Vendor Master'!$B$6:$B$15,""),"")</f>
        <v/>
      </c>
      <c r="J2459">
        <f>IF(A2459="","",TEXT(A2459,"mmm-yyyy"))</f>
        <v/>
      </c>
    </row>
    <row r="2460">
      <c r="D2460">
        <f>IFERROR(XLOOKUP(C2460,'Vendor Master'!$A$6:$A$15,'Vendor Master'!$B$6:$B$15,""),"")</f>
        <v/>
      </c>
      <c r="J2460">
        <f>IF(A2460="","",TEXT(A2460,"mmm-yyyy"))</f>
        <v/>
      </c>
    </row>
    <row r="2461">
      <c r="D2461">
        <f>IFERROR(XLOOKUP(C2461,'Vendor Master'!$A$6:$A$15,'Vendor Master'!$B$6:$B$15,""),"")</f>
        <v/>
      </c>
      <c r="J2461">
        <f>IF(A2461="","",TEXT(A2461,"mmm-yyyy"))</f>
        <v/>
      </c>
    </row>
    <row r="2462">
      <c r="D2462">
        <f>IFERROR(XLOOKUP(C2462,'Vendor Master'!$A$6:$A$15,'Vendor Master'!$B$6:$B$15,""),"")</f>
        <v/>
      </c>
      <c r="J2462">
        <f>IF(A2462="","",TEXT(A2462,"mmm-yyyy"))</f>
        <v/>
      </c>
    </row>
    <row r="2463">
      <c r="D2463">
        <f>IFERROR(XLOOKUP(C2463,'Vendor Master'!$A$6:$A$15,'Vendor Master'!$B$6:$B$15,""),"")</f>
        <v/>
      </c>
      <c r="J2463">
        <f>IF(A2463="","",TEXT(A2463,"mmm-yyyy"))</f>
        <v/>
      </c>
    </row>
    <row r="2464">
      <c r="D2464">
        <f>IFERROR(XLOOKUP(C2464,'Vendor Master'!$A$6:$A$15,'Vendor Master'!$B$6:$B$15,""),"")</f>
        <v/>
      </c>
      <c r="J2464">
        <f>IF(A2464="","",TEXT(A2464,"mmm-yyyy"))</f>
        <v/>
      </c>
    </row>
    <row r="2465">
      <c r="D2465">
        <f>IFERROR(XLOOKUP(C2465,'Vendor Master'!$A$6:$A$15,'Vendor Master'!$B$6:$B$15,""),"")</f>
        <v/>
      </c>
      <c r="J2465">
        <f>IF(A2465="","",TEXT(A2465,"mmm-yyyy"))</f>
        <v/>
      </c>
    </row>
    <row r="2466">
      <c r="D2466">
        <f>IFERROR(XLOOKUP(C2466,'Vendor Master'!$A$6:$A$15,'Vendor Master'!$B$6:$B$15,""),"")</f>
        <v/>
      </c>
      <c r="J2466">
        <f>IF(A2466="","",TEXT(A2466,"mmm-yyyy"))</f>
        <v/>
      </c>
    </row>
    <row r="2467">
      <c r="D2467">
        <f>IFERROR(XLOOKUP(C2467,'Vendor Master'!$A$6:$A$15,'Vendor Master'!$B$6:$B$15,""),"")</f>
        <v/>
      </c>
      <c r="J2467">
        <f>IF(A2467="","",TEXT(A2467,"mmm-yyyy"))</f>
        <v/>
      </c>
    </row>
    <row r="2468">
      <c r="D2468">
        <f>IFERROR(XLOOKUP(C2468,'Vendor Master'!$A$6:$A$15,'Vendor Master'!$B$6:$B$15,""),"")</f>
        <v/>
      </c>
      <c r="J2468">
        <f>IF(A2468="","",TEXT(A2468,"mmm-yyyy"))</f>
        <v/>
      </c>
    </row>
    <row r="2469">
      <c r="D2469">
        <f>IFERROR(XLOOKUP(C2469,'Vendor Master'!$A$6:$A$15,'Vendor Master'!$B$6:$B$15,""),"")</f>
        <v/>
      </c>
      <c r="J2469">
        <f>IF(A2469="","",TEXT(A2469,"mmm-yyyy"))</f>
        <v/>
      </c>
    </row>
    <row r="2470">
      <c r="D2470">
        <f>IFERROR(XLOOKUP(C2470,'Vendor Master'!$A$6:$A$15,'Vendor Master'!$B$6:$B$15,""),"")</f>
        <v/>
      </c>
      <c r="J2470">
        <f>IF(A2470="","",TEXT(A2470,"mmm-yyyy"))</f>
        <v/>
      </c>
    </row>
    <row r="2471">
      <c r="D2471">
        <f>IFERROR(XLOOKUP(C2471,'Vendor Master'!$A$6:$A$15,'Vendor Master'!$B$6:$B$15,""),"")</f>
        <v/>
      </c>
      <c r="J2471">
        <f>IF(A2471="","",TEXT(A2471,"mmm-yyyy"))</f>
        <v/>
      </c>
    </row>
    <row r="2472">
      <c r="D2472">
        <f>IFERROR(XLOOKUP(C2472,'Vendor Master'!$A$6:$A$15,'Vendor Master'!$B$6:$B$15,""),"")</f>
        <v/>
      </c>
      <c r="J2472">
        <f>IF(A2472="","",TEXT(A2472,"mmm-yyyy"))</f>
        <v/>
      </c>
    </row>
    <row r="2473">
      <c r="D2473">
        <f>IFERROR(XLOOKUP(C2473,'Vendor Master'!$A$6:$A$15,'Vendor Master'!$B$6:$B$15,""),"")</f>
        <v/>
      </c>
      <c r="J2473">
        <f>IF(A2473="","",TEXT(A2473,"mmm-yyyy"))</f>
        <v/>
      </c>
    </row>
    <row r="2474">
      <c r="D2474">
        <f>IFERROR(XLOOKUP(C2474,'Vendor Master'!$A$6:$A$15,'Vendor Master'!$B$6:$B$15,""),"")</f>
        <v/>
      </c>
      <c r="J2474">
        <f>IF(A2474="","",TEXT(A2474,"mmm-yyyy"))</f>
        <v/>
      </c>
    </row>
    <row r="2475">
      <c r="D2475">
        <f>IFERROR(XLOOKUP(C2475,'Vendor Master'!$A$6:$A$15,'Vendor Master'!$B$6:$B$15,""),"")</f>
        <v/>
      </c>
      <c r="J2475">
        <f>IF(A2475="","",TEXT(A2475,"mmm-yyyy"))</f>
        <v/>
      </c>
    </row>
    <row r="2476">
      <c r="D2476">
        <f>IFERROR(XLOOKUP(C2476,'Vendor Master'!$A$6:$A$15,'Vendor Master'!$B$6:$B$15,""),"")</f>
        <v/>
      </c>
      <c r="J2476">
        <f>IF(A2476="","",TEXT(A2476,"mmm-yyyy"))</f>
        <v/>
      </c>
    </row>
    <row r="2477">
      <c r="D2477">
        <f>IFERROR(XLOOKUP(C2477,'Vendor Master'!$A$6:$A$15,'Vendor Master'!$B$6:$B$15,""),"")</f>
        <v/>
      </c>
      <c r="J2477">
        <f>IF(A2477="","",TEXT(A2477,"mmm-yyyy"))</f>
        <v/>
      </c>
    </row>
    <row r="2478">
      <c r="D2478">
        <f>IFERROR(XLOOKUP(C2478,'Vendor Master'!$A$6:$A$15,'Vendor Master'!$B$6:$B$15,""),"")</f>
        <v/>
      </c>
      <c r="J2478">
        <f>IF(A2478="","",TEXT(A2478,"mmm-yyyy"))</f>
        <v/>
      </c>
    </row>
    <row r="2479">
      <c r="D2479">
        <f>IFERROR(XLOOKUP(C2479,'Vendor Master'!$A$6:$A$15,'Vendor Master'!$B$6:$B$15,""),"")</f>
        <v/>
      </c>
      <c r="J2479">
        <f>IF(A2479="","",TEXT(A2479,"mmm-yyyy"))</f>
        <v/>
      </c>
    </row>
    <row r="2480">
      <c r="D2480">
        <f>IFERROR(XLOOKUP(C2480,'Vendor Master'!$A$6:$A$15,'Vendor Master'!$B$6:$B$15,""),"")</f>
        <v/>
      </c>
      <c r="J2480">
        <f>IF(A2480="","",TEXT(A2480,"mmm-yyyy"))</f>
        <v/>
      </c>
    </row>
    <row r="2481">
      <c r="D2481">
        <f>IFERROR(XLOOKUP(C2481,'Vendor Master'!$A$6:$A$15,'Vendor Master'!$B$6:$B$15,""),"")</f>
        <v/>
      </c>
      <c r="J2481">
        <f>IF(A2481="","",TEXT(A2481,"mmm-yyyy"))</f>
        <v/>
      </c>
    </row>
    <row r="2482">
      <c r="D2482">
        <f>IFERROR(XLOOKUP(C2482,'Vendor Master'!$A$6:$A$15,'Vendor Master'!$B$6:$B$15,""),"")</f>
        <v/>
      </c>
      <c r="J2482">
        <f>IF(A2482="","",TEXT(A2482,"mmm-yyyy"))</f>
        <v/>
      </c>
    </row>
    <row r="2483">
      <c r="D2483">
        <f>IFERROR(XLOOKUP(C2483,'Vendor Master'!$A$6:$A$15,'Vendor Master'!$B$6:$B$15,""),"")</f>
        <v/>
      </c>
      <c r="J2483">
        <f>IF(A2483="","",TEXT(A2483,"mmm-yyyy"))</f>
        <v/>
      </c>
    </row>
    <row r="2484">
      <c r="D2484">
        <f>IFERROR(XLOOKUP(C2484,'Vendor Master'!$A$6:$A$15,'Vendor Master'!$B$6:$B$15,""),"")</f>
        <v/>
      </c>
      <c r="J2484">
        <f>IF(A2484="","",TEXT(A2484,"mmm-yyyy"))</f>
        <v/>
      </c>
    </row>
    <row r="2485">
      <c r="D2485">
        <f>IFERROR(XLOOKUP(C2485,'Vendor Master'!$A$6:$A$15,'Vendor Master'!$B$6:$B$15,""),"")</f>
        <v/>
      </c>
      <c r="J2485">
        <f>IF(A2485="","",TEXT(A2485,"mmm-yyyy"))</f>
        <v/>
      </c>
    </row>
    <row r="2486">
      <c r="D2486">
        <f>IFERROR(XLOOKUP(C2486,'Vendor Master'!$A$6:$A$15,'Vendor Master'!$B$6:$B$15,""),"")</f>
        <v/>
      </c>
      <c r="J2486">
        <f>IF(A2486="","",TEXT(A2486,"mmm-yyyy"))</f>
        <v/>
      </c>
    </row>
    <row r="2487">
      <c r="D2487">
        <f>IFERROR(XLOOKUP(C2487,'Vendor Master'!$A$6:$A$15,'Vendor Master'!$B$6:$B$15,""),"")</f>
        <v/>
      </c>
      <c r="J2487">
        <f>IF(A2487="","",TEXT(A2487,"mmm-yyyy"))</f>
        <v/>
      </c>
    </row>
    <row r="2488">
      <c r="D2488">
        <f>IFERROR(XLOOKUP(C2488,'Vendor Master'!$A$6:$A$15,'Vendor Master'!$B$6:$B$15,""),"")</f>
        <v/>
      </c>
      <c r="J2488">
        <f>IF(A2488="","",TEXT(A2488,"mmm-yyyy"))</f>
        <v/>
      </c>
    </row>
    <row r="2489">
      <c r="D2489">
        <f>IFERROR(XLOOKUP(C2489,'Vendor Master'!$A$6:$A$15,'Vendor Master'!$B$6:$B$15,""),"")</f>
        <v/>
      </c>
      <c r="J2489">
        <f>IF(A2489="","",TEXT(A2489,"mmm-yyyy"))</f>
        <v/>
      </c>
    </row>
    <row r="2490">
      <c r="D2490">
        <f>IFERROR(XLOOKUP(C2490,'Vendor Master'!$A$6:$A$15,'Vendor Master'!$B$6:$B$15,""),"")</f>
        <v/>
      </c>
      <c r="J2490">
        <f>IF(A2490="","",TEXT(A2490,"mmm-yyyy"))</f>
        <v/>
      </c>
    </row>
    <row r="2491">
      <c r="D2491">
        <f>IFERROR(XLOOKUP(C2491,'Vendor Master'!$A$6:$A$15,'Vendor Master'!$B$6:$B$15,""),"")</f>
        <v/>
      </c>
      <c r="J2491">
        <f>IF(A2491="","",TEXT(A2491,"mmm-yyyy"))</f>
        <v/>
      </c>
    </row>
    <row r="2492">
      <c r="D2492">
        <f>IFERROR(XLOOKUP(C2492,'Vendor Master'!$A$6:$A$15,'Vendor Master'!$B$6:$B$15,""),"")</f>
        <v/>
      </c>
      <c r="J2492">
        <f>IF(A2492="","",TEXT(A2492,"mmm-yyyy"))</f>
        <v/>
      </c>
    </row>
    <row r="2493">
      <c r="D2493">
        <f>IFERROR(XLOOKUP(C2493,'Vendor Master'!$A$6:$A$15,'Vendor Master'!$B$6:$B$15,""),"")</f>
        <v/>
      </c>
      <c r="J2493">
        <f>IF(A2493="","",TEXT(A2493,"mmm-yyyy"))</f>
        <v/>
      </c>
    </row>
    <row r="2494">
      <c r="D2494">
        <f>IFERROR(XLOOKUP(C2494,'Vendor Master'!$A$6:$A$15,'Vendor Master'!$B$6:$B$15,""),"")</f>
        <v/>
      </c>
      <c r="J2494">
        <f>IF(A2494="","",TEXT(A2494,"mmm-yyyy"))</f>
        <v/>
      </c>
    </row>
    <row r="2495">
      <c r="D2495">
        <f>IFERROR(XLOOKUP(C2495,'Vendor Master'!$A$6:$A$15,'Vendor Master'!$B$6:$B$15,""),"")</f>
        <v/>
      </c>
      <c r="J2495">
        <f>IF(A2495="","",TEXT(A2495,"mmm-yyyy"))</f>
        <v/>
      </c>
    </row>
    <row r="2496">
      <c r="D2496">
        <f>IFERROR(XLOOKUP(C2496,'Vendor Master'!$A$6:$A$15,'Vendor Master'!$B$6:$B$15,""),"")</f>
        <v/>
      </c>
      <c r="J2496">
        <f>IF(A2496="","",TEXT(A2496,"mmm-yyyy"))</f>
        <v/>
      </c>
    </row>
    <row r="2497">
      <c r="D2497">
        <f>IFERROR(XLOOKUP(C2497,'Vendor Master'!$A$6:$A$15,'Vendor Master'!$B$6:$B$15,""),"")</f>
        <v/>
      </c>
      <c r="J2497">
        <f>IF(A2497="","",TEXT(A2497,"mmm-yyyy"))</f>
        <v/>
      </c>
    </row>
    <row r="2498">
      <c r="D2498">
        <f>IFERROR(XLOOKUP(C2498,'Vendor Master'!$A$6:$A$15,'Vendor Master'!$B$6:$B$15,""),"")</f>
        <v/>
      </c>
      <c r="J2498">
        <f>IF(A2498="","",TEXT(A2498,"mmm-yyyy"))</f>
        <v/>
      </c>
    </row>
    <row r="2499">
      <c r="D2499">
        <f>IFERROR(XLOOKUP(C2499,'Vendor Master'!$A$6:$A$15,'Vendor Master'!$B$6:$B$15,""),"")</f>
        <v/>
      </c>
      <c r="J2499">
        <f>IF(A2499="","",TEXT(A2499,"mmm-yyyy"))</f>
        <v/>
      </c>
    </row>
    <row r="2500">
      <c r="D2500">
        <f>IFERROR(XLOOKUP(C2500,'Vendor Master'!$A$6:$A$15,'Vendor Master'!$B$6:$B$15,""),"")</f>
        <v/>
      </c>
      <c r="J2500">
        <f>IF(A2500="","",TEXT(A2500,"mmm-yyyy"))</f>
        <v/>
      </c>
    </row>
    <row r="2501">
      <c r="D2501">
        <f>IFERROR(XLOOKUP(C2501,'Vendor Master'!$A$6:$A$15,'Vendor Master'!$B$6:$B$15,""),"")</f>
        <v/>
      </c>
      <c r="J2501">
        <f>IF(A2501="","",TEXT(A2501,"mmm-yyyy"))</f>
        <v/>
      </c>
    </row>
    <row r="2502">
      <c r="D2502">
        <f>IFERROR(XLOOKUP(C2502,'Vendor Master'!$A$6:$A$15,'Vendor Master'!$B$6:$B$15,""),"")</f>
        <v/>
      </c>
      <c r="J2502">
        <f>IF(A2502="","",TEXT(A2502,"mmm-yyyy"))</f>
        <v/>
      </c>
    </row>
    <row r="2503">
      <c r="D2503">
        <f>IFERROR(XLOOKUP(C2503,'Vendor Master'!$A$6:$A$15,'Vendor Master'!$B$6:$B$15,""),"")</f>
        <v/>
      </c>
      <c r="J2503">
        <f>IF(A2503="","",TEXT(A2503,"mmm-yyyy"))</f>
        <v/>
      </c>
    </row>
    <row r="2504">
      <c r="D2504">
        <f>IFERROR(XLOOKUP(C2504,'Vendor Master'!$A$6:$A$15,'Vendor Master'!$B$6:$B$15,""),"")</f>
        <v/>
      </c>
      <c r="J2504">
        <f>IF(A2504="","",TEXT(A2504,"mmm-yyyy"))</f>
        <v/>
      </c>
    </row>
    <row r="2505">
      <c r="D2505">
        <f>IFERROR(XLOOKUP(C2505,'Vendor Master'!$A$6:$A$15,'Vendor Master'!$B$6:$B$15,""),"")</f>
        <v/>
      </c>
      <c r="J2505">
        <f>IF(A2505="","",TEXT(A2505,"mmm-yyyy"))</f>
        <v/>
      </c>
    </row>
    <row r="2506">
      <c r="D2506">
        <f>IFERROR(XLOOKUP(C2506,'Vendor Master'!$A$6:$A$15,'Vendor Master'!$B$6:$B$15,""),"")</f>
        <v/>
      </c>
      <c r="J2506">
        <f>IF(A2506="","",TEXT(A2506,"mmm-yyyy"))</f>
        <v/>
      </c>
    </row>
    <row r="2507">
      <c r="D2507">
        <f>IFERROR(XLOOKUP(C2507,'Vendor Master'!$A$6:$A$15,'Vendor Master'!$B$6:$B$15,""),"")</f>
        <v/>
      </c>
      <c r="J2507">
        <f>IF(A2507="","",TEXT(A2507,"mmm-yyyy"))</f>
        <v/>
      </c>
    </row>
    <row r="2508">
      <c r="D2508">
        <f>IFERROR(XLOOKUP(C2508,'Vendor Master'!$A$6:$A$15,'Vendor Master'!$B$6:$B$15,""),"")</f>
        <v/>
      </c>
      <c r="J2508">
        <f>IF(A2508="","",TEXT(A2508,"mmm-yyyy"))</f>
        <v/>
      </c>
    </row>
    <row r="2509">
      <c r="D2509">
        <f>IFERROR(XLOOKUP(C2509,'Vendor Master'!$A$6:$A$15,'Vendor Master'!$B$6:$B$15,""),"")</f>
        <v/>
      </c>
      <c r="J2509">
        <f>IF(A2509="","",TEXT(A2509,"mmm-yyyy"))</f>
        <v/>
      </c>
    </row>
    <row r="2510">
      <c r="D2510">
        <f>IFERROR(XLOOKUP(C2510,'Vendor Master'!$A$6:$A$15,'Vendor Master'!$B$6:$B$15,""),"")</f>
        <v/>
      </c>
      <c r="J2510">
        <f>IF(A2510="","",TEXT(A2510,"mmm-yyyy"))</f>
        <v/>
      </c>
    </row>
    <row r="2511">
      <c r="D2511">
        <f>IFERROR(XLOOKUP(C2511,'Vendor Master'!$A$6:$A$15,'Vendor Master'!$B$6:$B$15,""),"")</f>
        <v/>
      </c>
      <c r="J2511">
        <f>IF(A2511="","",TEXT(A2511,"mmm-yyyy"))</f>
        <v/>
      </c>
    </row>
    <row r="2512">
      <c r="D2512">
        <f>IFERROR(XLOOKUP(C2512,'Vendor Master'!$A$6:$A$15,'Vendor Master'!$B$6:$B$15,""),"")</f>
        <v/>
      </c>
      <c r="J2512">
        <f>IF(A2512="","",TEXT(A2512,"mmm-yyyy"))</f>
        <v/>
      </c>
    </row>
    <row r="2513">
      <c r="D2513">
        <f>IFERROR(XLOOKUP(C2513,'Vendor Master'!$A$6:$A$15,'Vendor Master'!$B$6:$B$15,""),"")</f>
        <v/>
      </c>
      <c r="J2513">
        <f>IF(A2513="","",TEXT(A2513,"mmm-yyyy"))</f>
        <v/>
      </c>
    </row>
    <row r="2514">
      <c r="D2514">
        <f>IFERROR(XLOOKUP(C2514,'Vendor Master'!$A$6:$A$15,'Vendor Master'!$B$6:$B$15,""),"")</f>
        <v/>
      </c>
      <c r="J2514">
        <f>IF(A2514="","",TEXT(A2514,"mmm-yyyy"))</f>
        <v/>
      </c>
    </row>
    <row r="2515">
      <c r="D2515">
        <f>IFERROR(XLOOKUP(C2515,'Vendor Master'!$A$6:$A$15,'Vendor Master'!$B$6:$B$15,""),"")</f>
        <v/>
      </c>
      <c r="J2515">
        <f>IF(A2515="","",TEXT(A2515,"mmm-yyyy"))</f>
        <v/>
      </c>
    </row>
    <row r="2516">
      <c r="D2516">
        <f>IFERROR(XLOOKUP(C2516,'Vendor Master'!$A$6:$A$15,'Vendor Master'!$B$6:$B$15,""),"")</f>
        <v/>
      </c>
      <c r="J2516">
        <f>IF(A2516="","",TEXT(A2516,"mmm-yyyy"))</f>
        <v/>
      </c>
    </row>
    <row r="2517">
      <c r="D2517">
        <f>IFERROR(XLOOKUP(C2517,'Vendor Master'!$A$6:$A$15,'Vendor Master'!$B$6:$B$15,""),"")</f>
        <v/>
      </c>
      <c r="J2517">
        <f>IF(A2517="","",TEXT(A2517,"mmm-yyyy"))</f>
        <v/>
      </c>
    </row>
    <row r="2518">
      <c r="D2518">
        <f>IFERROR(XLOOKUP(C2518,'Vendor Master'!$A$6:$A$15,'Vendor Master'!$B$6:$B$15,""),"")</f>
        <v/>
      </c>
      <c r="J2518">
        <f>IF(A2518="","",TEXT(A2518,"mmm-yyyy"))</f>
        <v/>
      </c>
    </row>
    <row r="2519">
      <c r="D2519">
        <f>IFERROR(XLOOKUP(C2519,'Vendor Master'!$A$6:$A$15,'Vendor Master'!$B$6:$B$15,""),"")</f>
        <v/>
      </c>
      <c r="J2519">
        <f>IF(A2519="","",TEXT(A2519,"mmm-yyyy"))</f>
        <v/>
      </c>
    </row>
    <row r="2520">
      <c r="D2520">
        <f>IFERROR(XLOOKUP(C2520,'Vendor Master'!$A$6:$A$15,'Vendor Master'!$B$6:$B$15,""),"")</f>
        <v/>
      </c>
      <c r="J2520">
        <f>IF(A2520="","",TEXT(A2520,"mmm-yyyy"))</f>
        <v/>
      </c>
    </row>
    <row r="2521">
      <c r="D2521">
        <f>IFERROR(XLOOKUP(C2521,'Vendor Master'!$A$6:$A$15,'Vendor Master'!$B$6:$B$15,""),"")</f>
        <v/>
      </c>
      <c r="J2521">
        <f>IF(A2521="","",TEXT(A2521,"mmm-yyyy"))</f>
        <v/>
      </c>
    </row>
    <row r="2522">
      <c r="D2522">
        <f>IFERROR(XLOOKUP(C2522,'Vendor Master'!$A$6:$A$15,'Vendor Master'!$B$6:$B$15,""),"")</f>
        <v/>
      </c>
      <c r="J2522">
        <f>IF(A2522="","",TEXT(A2522,"mmm-yyyy"))</f>
        <v/>
      </c>
    </row>
    <row r="2523">
      <c r="D2523">
        <f>IFERROR(XLOOKUP(C2523,'Vendor Master'!$A$6:$A$15,'Vendor Master'!$B$6:$B$15,""),"")</f>
        <v/>
      </c>
      <c r="J2523">
        <f>IF(A2523="","",TEXT(A2523,"mmm-yyyy"))</f>
        <v/>
      </c>
    </row>
    <row r="2524">
      <c r="D2524">
        <f>IFERROR(XLOOKUP(C2524,'Vendor Master'!$A$6:$A$15,'Vendor Master'!$B$6:$B$15,""),"")</f>
        <v/>
      </c>
      <c r="J2524">
        <f>IF(A2524="","",TEXT(A2524,"mmm-yyyy"))</f>
        <v/>
      </c>
    </row>
    <row r="2525">
      <c r="D2525">
        <f>IFERROR(XLOOKUP(C2525,'Vendor Master'!$A$6:$A$15,'Vendor Master'!$B$6:$B$15,""),"")</f>
        <v/>
      </c>
      <c r="J2525">
        <f>IF(A2525="","",TEXT(A2525,"mmm-yyyy"))</f>
        <v/>
      </c>
    </row>
    <row r="2526">
      <c r="D2526">
        <f>IFERROR(XLOOKUP(C2526,'Vendor Master'!$A$6:$A$15,'Vendor Master'!$B$6:$B$15,""),"")</f>
        <v/>
      </c>
      <c r="J2526">
        <f>IF(A2526="","",TEXT(A2526,"mmm-yyyy"))</f>
        <v/>
      </c>
    </row>
    <row r="2527">
      <c r="D2527">
        <f>IFERROR(XLOOKUP(C2527,'Vendor Master'!$A$6:$A$15,'Vendor Master'!$B$6:$B$15,""),"")</f>
        <v/>
      </c>
      <c r="J2527">
        <f>IF(A2527="","",TEXT(A2527,"mmm-yyyy"))</f>
        <v/>
      </c>
    </row>
    <row r="2528">
      <c r="D2528">
        <f>IFERROR(XLOOKUP(C2528,'Vendor Master'!$A$6:$A$15,'Vendor Master'!$B$6:$B$15,""),"")</f>
        <v/>
      </c>
      <c r="J2528">
        <f>IF(A2528="","",TEXT(A2528,"mmm-yyyy"))</f>
        <v/>
      </c>
    </row>
    <row r="2529">
      <c r="D2529">
        <f>IFERROR(XLOOKUP(C2529,'Vendor Master'!$A$6:$A$15,'Vendor Master'!$B$6:$B$15,""),"")</f>
        <v/>
      </c>
      <c r="J2529">
        <f>IF(A2529="","",TEXT(A2529,"mmm-yyyy"))</f>
        <v/>
      </c>
    </row>
    <row r="2530">
      <c r="D2530">
        <f>IFERROR(XLOOKUP(C2530,'Vendor Master'!$A$6:$A$15,'Vendor Master'!$B$6:$B$15,""),"")</f>
        <v/>
      </c>
      <c r="J2530">
        <f>IF(A2530="","",TEXT(A2530,"mmm-yyyy"))</f>
        <v/>
      </c>
    </row>
    <row r="2531">
      <c r="D2531">
        <f>IFERROR(XLOOKUP(C2531,'Vendor Master'!$A$6:$A$15,'Vendor Master'!$B$6:$B$15,""),"")</f>
        <v/>
      </c>
      <c r="J2531">
        <f>IF(A2531="","",TEXT(A2531,"mmm-yyyy"))</f>
        <v/>
      </c>
    </row>
    <row r="2532">
      <c r="D2532">
        <f>IFERROR(XLOOKUP(C2532,'Vendor Master'!$A$6:$A$15,'Vendor Master'!$B$6:$B$15,""),"")</f>
        <v/>
      </c>
      <c r="J2532">
        <f>IF(A2532="","",TEXT(A2532,"mmm-yyyy"))</f>
        <v/>
      </c>
    </row>
    <row r="2533">
      <c r="D2533">
        <f>IFERROR(XLOOKUP(C2533,'Vendor Master'!$A$6:$A$15,'Vendor Master'!$B$6:$B$15,""),"")</f>
        <v/>
      </c>
      <c r="J2533">
        <f>IF(A2533="","",TEXT(A2533,"mmm-yyyy"))</f>
        <v/>
      </c>
    </row>
    <row r="2534">
      <c r="D2534">
        <f>IFERROR(XLOOKUP(C2534,'Vendor Master'!$A$6:$A$15,'Vendor Master'!$B$6:$B$15,""),"")</f>
        <v/>
      </c>
      <c r="J2534">
        <f>IF(A2534="","",TEXT(A2534,"mmm-yyyy"))</f>
        <v/>
      </c>
    </row>
    <row r="2535">
      <c r="D2535">
        <f>IFERROR(XLOOKUP(C2535,'Vendor Master'!$A$6:$A$15,'Vendor Master'!$B$6:$B$15,""),"")</f>
        <v/>
      </c>
      <c r="J2535">
        <f>IF(A2535="","",TEXT(A2535,"mmm-yyyy"))</f>
        <v/>
      </c>
    </row>
    <row r="2536">
      <c r="D2536">
        <f>IFERROR(XLOOKUP(C2536,'Vendor Master'!$A$6:$A$15,'Vendor Master'!$B$6:$B$15,""),"")</f>
        <v/>
      </c>
      <c r="J2536">
        <f>IF(A2536="","",TEXT(A2536,"mmm-yyyy"))</f>
        <v/>
      </c>
    </row>
    <row r="2537">
      <c r="D2537">
        <f>IFERROR(XLOOKUP(C2537,'Vendor Master'!$A$6:$A$15,'Vendor Master'!$B$6:$B$15,""),"")</f>
        <v/>
      </c>
      <c r="J2537">
        <f>IF(A2537="","",TEXT(A2537,"mmm-yyyy"))</f>
        <v/>
      </c>
    </row>
    <row r="2538">
      <c r="D2538">
        <f>IFERROR(XLOOKUP(C2538,'Vendor Master'!$A$6:$A$15,'Vendor Master'!$B$6:$B$15,""),"")</f>
        <v/>
      </c>
      <c r="J2538">
        <f>IF(A2538="","",TEXT(A2538,"mmm-yyyy"))</f>
        <v/>
      </c>
    </row>
    <row r="2539">
      <c r="D2539">
        <f>IFERROR(XLOOKUP(C2539,'Vendor Master'!$A$6:$A$15,'Vendor Master'!$B$6:$B$15,""),"")</f>
        <v/>
      </c>
      <c r="J2539">
        <f>IF(A2539="","",TEXT(A2539,"mmm-yyyy"))</f>
        <v/>
      </c>
    </row>
    <row r="2540">
      <c r="D2540">
        <f>IFERROR(XLOOKUP(C2540,'Vendor Master'!$A$6:$A$15,'Vendor Master'!$B$6:$B$15,""),"")</f>
        <v/>
      </c>
      <c r="J2540">
        <f>IF(A2540="","",TEXT(A2540,"mmm-yyyy"))</f>
        <v/>
      </c>
    </row>
    <row r="2541">
      <c r="D2541">
        <f>IFERROR(XLOOKUP(C2541,'Vendor Master'!$A$6:$A$15,'Vendor Master'!$B$6:$B$15,""),"")</f>
        <v/>
      </c>
      <c r="J2541">
        <f>IF(A2541="","",TEXT(A2541,"mmm-yyyy"))</f>
        <v/>
      </c>
    </row>
    <row r="2542">
      <c r="D2542">
        <f>IFERROR(XLOOKUP(C2542,'Vendor Master'!$A$6:$A$15,'Vendor Master'!$B$6:$B$15,""),"")</f>
        <v/>
      </c>
      <c r="J2542">
        <f>IF(A2542="","",TEXT(A2542,"mmm-yyyy"))</f>
        <v/>
      </c>
    </row>
    <row r="2543">
      <c r="D2543">
        <f>IFERROR(XLOOKUP(C2543,'Vendor Master'!$A$6:$A$15,'Vendor Master'!$B$6:$B$15,""),"")</f>
        <v/>
      </c>
      <c r="J2543">
        <f>IF(A2543="","",TEXT(A2543,"mmm-yyyy"))</f>
        <v/>
      </c>
    </row>
    <row r="2544">
      <c r="D2544">
        <f>IFERROR(XLOOKUP(C2544,'Vendor Master'!$A$6:$A$15,'Vendor Master'!$B$6:$B$15,""),"")</f>
        <v/>
      </c>
      <c r="J2544">
        <f>IF(A2544="","",TEXT(A2544,"mmm-yyyy"))</f>
        <v/>
      </c>
    </row>
    <row r="2545">
      <c r="D2545">
        <f>IFERROR(XLOOKUP(C2545,'Vendor Master'!$A$6:$A$15,'Vendor Master'!$B$6:$B$15,""),"")</f>
        <v/>
      </c>
      <c r="J2545">
        <f>IF(A2545="","",TEXT(A2545,"mmm-yyyy"))</f>
        <v/>
      </c>
    </row>
    <row r="2546">
      <c r="D2546">
        <f>IFERROR(XLOOKUP(C2546,'Vendor Master'!$A$6:$A$15,'Vendor Master'!$B$6:$B$15,""),"")</f>
        <v/>
      </c>
      <c r="J2546">
        <f>IF(A2546="","",TEXT(A2546,"mmm-yyyy"))</f>
        <v/>
      </c>
    </row>
    <row r="2547">
      <c r="D2547">
        <f>IFERROR(XLOOKUP(C2547,'Vendor Master'!$A$6:$A$15,'Vendor Master'!$B$6:$B$15,""),"")</f>
        <v/>
      </c>
      <c r="J2547">
        <f>IF(A2547="","",TEXT(A2547,"mmm-yyyy"))</f>
        <v/>
      </c>
    </row>
    <row r="2548">
      <c r="D2548">
        <f>IFERROR(XLOOKUP(C2548,'Vendor Master'!$A$6:$A$15,'Vendor Master'!$B$6:$B$15,""),"")</f>
        <v/>
      </c>
      <c r="J2548">
        <f>IF(A2548="","",TEXT(A2548,"mmm-yyyy"))</f>
        <v/>
      </c>
    </row>
    <row r="2549">
      <c r="D2549">
        <f>IFERROR(XLOOKUP(C2549,'Vendor Master'!$A$6:$A$15,'Vendor Master'!$B$6:$B$15,""),"")</f>
        <v/>
      </c>
      <c r="J2549">
        <f>IF(A2549="","",TEXT(A2549,"mmm-yyyy"))</f>
        <v/>
      </c>
    </row>
    <row r="2550">
      <c r="D2550">
        <f>IFERROR(XLOOKUP(C2550,'Vendor Master'!$A$6:$A$15,'Vendor Master'!$B$6:$B$15,""),"")</f>
        <v/>
      </c>
      <c r="J2550">
        <f>IF(A2550="","",TEXT(A2550,"mmm-yyyy"))</f>
        <v/>
      </c>
    </row>
    <row r="2551">
      <c r="D2551">
        <f>IFERROR(XLOOKUP(C2551,'Vendor Master'!$A$6:$A$15,'Vendor Master'!$B$6:$B$15,""),"")</f>
        <v/>
      </c>
      <c r="J2551">
        <f>IF(A2551="","",TEXT(A2551,"mmm-yyyy"))</f>
        <v/>
      </c>
    </row>
    <row r="2552">
      <c r="D2552">
        <f>IFERROR(XLOOKUP(C2552,'Vendor Master'!$A$6:$A$15,'Vendor Master'!$B$6:$B$15,""),"")</f>
        <v/>
      </c>
      <c r="J2552">
        <f>IF(A2552="","",TEXT(A2552,"mmm-yyyy"))</f>
        <v/>
      </c>
    </row>
    <row r="2553">
      <c r="D2553">
        <f>IFERROR(XLOOKUP(C2553,'Vendor Master'!$A$6:$A$15,'Vendor Master'!$B$6:$B$15,""),"")</f>
        <v/>
      </c>
      <c r="J2553">
        <f>IF(A2553="","",TEXT(A2553,"mmm-yyyy"))</f>
        <v/>
      </c>
    </row>
    <row r="2554">
      <c r="D2554">
        <f>IFERROR(XLOOKUP(C2554,'Vendor Master'!$A$6:$A$15,'Vendor Master'!$B$6:$B$15,""),"")</f>
        <v/>
      </c>
      <c r="J2554">
        <f>IF(A2554="","",TEXT(A2554,"mmm-yyyy"))</f>
        <v/>
      </c>
    </row>
    <row r="2555">
      <c r="D2555">
        <f>IFERROR(XLOOKUP(C2555,'Vendor Master'!$A$6:$A$15,'Vendor Master'!$B$6:$B$15,""),"")</f>
        <v/>
      </c>
      <c r="J2555">
        <f>IF(A2555="","",TEXT(A2555,"mmm-yyyy"))</f>
        <v/>
      </c>
    </row>
    <row r="2556">
      <c r="D2556">
        <f>IFERROR(XLOOKUP(C2556,'Vendor Master'!$A$6:$A$15,'Vendor Master'!$B$6:$B$15,""),"")</f>
        <v/>
      </c>
      <c r="J2556">
        <f>IF(A2556="","",TEXT(A2556,"mmm-yyyy"))</f>
        <v/>
      </c>
    </row>
    <row r="2557">
      <c r="D2557">
        <f>IFERROR(XLOOKUP(C2557,'Vendor Master'!$A$6:$A$15,'Vendor Master'!$B$6:$B$15,""),"")</f>
        <v/>
      </c>
      <c r="J2557">
        <f>IF(A2557="","",TEXT(A2557,"mmm-yyyy"))</f>
        <v/>
      </c>
    </row>
    <row r="2558">
      <c r="D2558">
        <f>IFERROR(XLOOKUP(C2558,'Vendor Master'!$A$6:$A$15,'Vendor Master'!$B$6:$B$15,""),"")</f>
        <v/>
      </c>
      <c r="J2558">
        <f>IF(A2558="","",TEXT(A2558,"mmm-yyyy"))</f>
        <v/>
      </c>
    </row>
    <row r="2559">
      <c r="D2559">
        <f>IFERROR(XLOOKUP(C2559,'Vendor Master'!$A$6:$A$15,'Vendor Master'!$B$6:$B$15,""),"")</f>
        <v/>
      </c>
      <c r="J2559">
        <f>IF(A2559="","",TEXT(A2559,"mmm-yyyy"))</f>
        <v/>
      </c>
    </row>
    <row r="2560">
      <c r="D2560">
        <f>IFERROR(XLOOKUP(C2560,'Vendor Master'!$A$6:$A$15,'Vendor Master'!$B$6:$B$15,""),"")</f>
        <v/>
      </c>
      <c r="J2560">
        <f>IF(A2560="","",TEXT(A2560,"mmm-yyyy"))</f>
        <v/>
      </c>
    </row>
    <row r="2561">
      <c r="D2561">
        <f>IFERROR(XLOOKUP(C2561,'Vendor Master'!$A$6:$A$15,'Vendor Master'!$B$6:$B$15,""),"")</f>
        <v/>
      </c>
      <c r="J2561">
        <f>IF(A2561="","",TEXT(A2561,"mmm-yyyy"))</f>
        <v/>
      </c>
    </row>
    <row r="2562">
      <c r="D2562">
        <f>IFERROR(XLOOKUP(C2562,'Vendor Master'!$A$6:$A$15,'Vendor Master'!$B$6:$B$15,""),"")</f>
        <v/>
      </c>
      <c r="J2562">
        <f>IF(A2562="","",TEXT(A2562,"mmm-yyyy"))</f>
        <v/>
      </c>
    </row>
    <row r="2563">
      <c r="D2563">
        <f>IFERROR(XLOOKUP(C2563,'Vendor Master'!$A$6:$A$15,'Vendor Master'!$B$6:$B$15,""),"")</f>
        <v/>
      </c>
      <c r="J2563">
        <f>IF(A2563="","",TEXT(A2563,"mmm-yyyy"))</f>
        <v/>
      </c>
    </row>
    <row r="2564">
      <c r="D2564">
        <f>IFERROR(XLOOKUP(C2564,'Vendor Master'!$A$6:$A$15,'Vendor Master'!$B$6:$B$15,""),"")</f>
        <v/>
      </c>
      <c r="J2564">
        <f>IF(A2564="","",TEXT(A2564,"mmm-yyyy"))</f>
        <v/>
      </c>
    </row>
    <row r="2565">
      <c r="D2565">
        <f>IFERROR(XLOOKUP(C2565,'Vendor Master'!$A$6:$A$15,'Vendor Master'!$B$6:$B$15,""),"")</f>
        <v/>
      </c>
      <c r="J2565">
        <f>IF(A2565="","",TEXT(A2565,"mmm-yyyy"))</f>
        <v/>
      </c>
    </row>
    <row r="2566">
      <c r="D2566">
        <f>IFERROR(XLOOKUP(C2566,'Vendor Master'!$A$6:$A$15,'Vendor Master'!$B$6:$B$15,""),"")</f>
        <v/>
      </c>
      <c r="J2566">
        <f>IF(A2566="","",TEXT(A2566,"mmm-yyyy"))</f>
        <v/>
      </c>
    </row>
    <row r="2567">
      <c r="D2567">
        <f>IFERROR(XLOOKUP(C2567,'Vendor Master'!$A$6:$A$15,'Vendor Master'!$B$6:$B$15,""),"")</f>
        <v/>
      </c>
      <c r="J2567">
        <f>IF(A2567="","",TEXT(A2567,"mmm-yyyy"))</f>
        <v/>
      </c>
    </row>
    <row r="2568">
      <c r="D2568">
        <f>IFERROR(XLOOKUP(C2568,'Vendor Master'!$A$6:$A$15,'Vendor Master'!$B$6:$B$15,""),"")</f>
        <v/>
      </c>
      <c r="J2568">
        <f>IF(A2568="","",TEXT(A2568,"mmm-yyyy"))</f>
        <v/>
      </c>
    </row>
    <row r="2569">
      <c r="D2569">
        <f>IFERROR(XLOOKUP(C2569,'Vendor Master'!$A$6:$A$15,'Vendor Master'!$B$6:$B$15,""),"")</f>
        <v/>
      </c>
      <c r="J2569">
        <f>IF(A2569="","",TEXT(A2569,"mmm-yyyy"))</f>
        <v/>
      </c>
    </row>
    <row r="2570">
      <c r="D2570">
        <f>IFERROR(XLOOKUP(C2570,'Vendor Master'!$A$6:$A$15,'Vendor Master'!$B$6:$B$15,""),"")</f>
        <v/>
      </c>
      <c r="J2570">
        <f>IF(A2570="","",TEXT(A2570,"mmm-yyyy"))</f>
        <v/>
      </c>
    </row>
    <row r="2571">
      <c r="D2571">
        <f>IFERROR(XLOOKUP(C2571,'Vendor Master'!$A$6:$A$15,'Vendor Master'!$B$6:$B$15,""),"")</f>
        <v/>
      </c>
      <c r="J2571">
        <f>IF(A2571="","",TEXT(A2571,"mmm-yyyy"))</f>
        <v/>
      </c>
    </row>
    <row r="2572">
      <c r="D2572">
        <f>IFERROR(XLOOKUP(C2572,'Vendor Master'!$A$6:$A$15,'Vendor Master'!$B$6:$B$15,""),"")</f>
        <v/>
      </c>
      <c r="J2572">
        <f>IF(A2572="","",TEXT(A2572,"mmm-yyyy"))</f>
        <v/>
      </c>
    </row>
    <row r="2573">
      <c r="D2573">
        <f>IFERROR(XLOOKUP(C2573,'Vendor Master'!$A$6:$A$15,'Vendor Master'!$B$6:$B$15,""),"")</f>
        <v/>
      </c>
      <c r="J2573">
        <f>IF(A2573="","",TEXT(A2573,"mmm-yyyy"))</f>
        <v/>
      </c>
    </row>
    <row r="2574">
      <c r="D2574">
        <f>IFERROR(XLOOKUP(C2574,'Vendor Master'!$A$6:$A$15,'Vendor Master'!$B$6:$B$15,""),"")</f>
        <v/>
      </c>
      <c r="J2574">
        <f>IF(A2574="","",TEXT(A2574,"mmm-yyyy"))</f>
        <v/>
      </c>
    </row>
    <row r="2575">
      <c r="D2575">
        <f>IFERROR(XLOOKUP(C2575,'Vendor Master'!$A$6:$A$15,'Vendor Master'!$B$6:$B$15,""),"")</f>
        <v/>
      </c>
      <c r="J2575">
        <f>IF(A2575="","",TEXT(A2575,"mmm-yyyy"))</f>
        <v/>
      </c>
    </row>
    <row r="2576">
      <c r="D2576">
        <f>IFERROR(XLOOKUP(C2576,'Vendor Master'!$A$6:$A$15,'Vendor Master'!$B$6:$B$15,""),"")</f>
        <v/>
      </c>
      <c r="J2576">
        <f>IF(A2576="","",TEXT(A2576,"mmm-yyyy"))</f>
        <v/>
      </c>
    </row>
    <row r="2577">
      <c r="D2577">
        <f>IFERROR(XLOOKUP(C2577,'Vendor Master'!$A$6:$A$15,'Vendor Master'!$B$6:$B$15,""),"")</f>
        <v/>
      </c>
      <c r="J2577">
        <f>IF(A2577="","",TEXT(A2577,"mmm-yyyy"))</f>
        <v/>
      </c>
    </row>
    <row r="2578">
      <c r="D2578">
        <f>IFERROR(XLOOKUP(C2578,'Vendor Master'!$A$6:$A$15,'Vendor Master'!$B$6:$B$15,""),"")</f>
        <v/>
      </c>
      <c r="J2578">
        <f>IF(A2578="","",TEXT(A2578,"mmm-yyyy"))</f>
        <v/>
      </c>
    </row>
    <row r="2579">
      <c r="D2579">
        <f>IFERROR(XLOOKUP(C2579,'Vendor Master'!$A$6:$A$15,'Vendor Master'!$B$6:$B$15,""),"")</f>
        <v/>
      </c>
      <c r="J2579">
        <f>IF(A2579="","",TEXT(A2579,"mmm-yyyy"))</f>
        <v/>
      </c>
    </row>
    <row r="2580">
      <c r="D2580">
        <f>IFERROR(XLOOKUP(C2580,'Vendor Master'!$A$6:$A$15,'Vendor Master'!$B$6:$B$15,""),"")</f>
        <v/>
      </c>
      <c r="J2580">
        <f>IF(A2580="","",TEXT(A2580,"mmm-yyyy"))</f>
        <v/>
      </c>
    </row>
    <row r="2581">
      <c r="D2581">
        <f>IFERROR(XLOOKUP(C2581,'Vendor Master'!$A$6:$A$15,'Vendor Master'!$B$6:$B$15,""),"")</f>
        <v/>
      </c>
      <c r="J2581">
        <f>IF(A2581="","",TEXT(A2581,"mmm-yyyy"))</f>
        <v/>
      </c>
    </row>
    <row r="2582">
      <c r="D2582">
        <f>IFERROR(XLOOKUP(C2582,'Vendor Master'!$A$6:$A$15,'Vendor Master'!$B$6:$B$15,""),"")</f>
        <v/>
      </c>
      <c r="J2582">
        <f>IF(A2582="","",TEXT(A2582,"mmm-yyyy"))</f>
        <v/>
      </c>
    </row>
    <row r="2583">
      <c r="D2583">
        <f>IFERROR(XLOOKUP(C2583,'Vendor Master'!$A$6:$A$15,'Vendor Master'!$B$6:$B$15,""),"")</f>
        <v/>
      </c>
      <c r="J2583">
        <f>IF(A2583="","",TEXT(A2583,"mmm-yyyy"))</f>
        <v/>
      </c>
    </row>
    <row r="2584">
      <c r="D2584">
        <f>IFERROR(XLOOKUP(C2584,'Vendor Master'!$A$6:$A$15,'Vendor Master'!$B$6:$B$15,""),"")</f>
        <v/>
      </c>
      <c r="J2584">
        <f>IF(A2584="","",TEXT(A2584,"mmm-yyyy"))</f>
        <v/>
      </c>
    </row>
    <row r="2585">
      <c r="D2585">
        <f>IFERROR(XLOOKUP(C2585,'Vendor Master'!$A$6:$A$15,'Vendor Master'!$B$6:$B$15,""),"")</f>
        <v/>
      </c>
      <c r="J2585">
        <f>IF(A2585="","",TEXT(A2585,"mmm-yyyy"))</f>
        <v/>
      </c>
    </row>
    <row r="2586">
      <c r="D2586">
        <f>IFERROR(XLOOKUP(C2586,'Vendor Master'!$A$6:$A$15,'Vendor Master'!$B$6:$B$15,""),"")</f>
        <v/>
      </c>
      <c r="J2586">
        <f>IF(A2586="","",TEXT(A2586,"mmm-yyyy"))</f>
        <v/>
      </c>
    </row>
    <row r="2587">
      <c r="D2587">
        <f>IFERROR(XLOOKUP(C2587,'Vendor Master'!$A$6:$A$15,'Vendor Master'!$B$6:$B$15,""),"")</f>
        <v/>
      </c>
      <c r="J2587">
        <f>IF(A2587="","",TEXT(A2587,"mmm-yyyy"))</f>
        <v/>
      </c>
    </row>
    <row r="2588">
      <c r="D2588">
        <f>IFERROR(XLOOKUP(C2588,'Vendor Master'!$A$6:$A$15,'Vendor Master'!$B$6:$B$15,""),"")</f>
        <v/>
      </c>
      <c r="J2588">
        <f>IF(A2588="","",TEXT(A2588,"mmm-yyyy"))</f>
        <v/>
      </c>
    </row>
    <row r="2589">
      <c r="D2589">
        <f>IFERROR(XLOOKUP(C2589,'Vendor Master'!$A$6:$A$15,'Vendor Master'!$B$6:$B$15,""),"")</f>
        <v/>
      </c>
      <c r="J2589">
        <f>IF(A2589="","",TEXT(A2589,"mmm-yyyy"))</f>
        <v/>
      </c>
    </row>
    <row r="2590">
      <c r="D2590">
        <f>IFERROR(XLOOKUP(C2590,'Vendor Master'!$A$6:$A$15,'Vendor Master'!$B$6:$B$15,""),"")</f>
        <v/>
      </c>
      <c r="J2590">
        <f>IF(A2590="","",TEXT(A2590,"mmm-yyyy"))</f>
        <v/>
      </c>
    </row>
    <row r="2591">
      <c r="D2591">
        <f>IFERROR(XLOOKUP(C2591,'Vendor Master'!$A$6:$A$15,'Vendor Master'!$B$6:$B$15,""),"")</f>
        <v/>
      </c>
      <c r="J2591">
        <f>IF(A2591="","",TEXT(A2591,"mmm-yyyy"))</f>
        <v/>
      </c>
    </row>
    <row r="2592">
      <c r="D2592">
        <f>IFERROR(XLOOKUP(C2592,'Vendor Master'!$A$6:$A$15,'Vendor Master'!$B$6:$B$15,""),"")</f>
        <v/>
      </c>
      <c r="J2592">
        <f>IF(A2592="","",TEXT(A2592,"mmm-yyyy"))</f>
        <v/>
      </c>
    </row>
    <row r="2593">
      <c r="D2593">
        <f>IFERROR(XLOOKUP(C2593,'Vendor Master'!$A$6:$A$15,'Vendor Master'!$B$6:$B$15,""),"")</f>
        <v/>
      </c>
      <c r="J2593">
        <f>IF(A2593="","",TEXT(A2593,"mmm-yyyy"))</f>
        <v/>
      </c>
    </row>
    <row r="2594">
      <c r="D2594">
        <f>IFERROR(XLOOKUP(C2594,'Vendor Master'!$A$6:$A$15,'Vendor Master'!$B$6:$B$15,""),"")</f>
        <v/>
      </c>
      <c r="J2594">
        <f>IF(A2594="","",TEXT(A2594,"mmm-yyyy"))</f>
        <v/>
      </c>
    </row>
    <row r="2595">
      <c r="D2595">
        <f>IFERROR(XLOOKUP(C2595,'Vendor Master'!$A$6:$A$15,'Vendor Master'!$B$6:$B$15,""),"")</f>
        <v/>
      </c>
      <c r="J2595">
        <f>IF(A2595="","",TEXT(A2595,"mmm-yyyy"))</f>
        <v/>
      </c>
    </row>
    <row r="2596">
      <c r="D2596">
        <f>IFERROR(XLOOKUP(C2596,'Vendor Master'!$A$6:$A$15,'Vendor Master'!$B$6:$B$15,""),"")</f>
        <v/>
      </c>
      <c r="J2596">
        <f>IF(A2596="","",TEXT(A2596,"mmm-yyyy"))</f>
        <v/>
      </c>
    </row>
    <row r="2597">
      <c r="D2597">
        <f>IFERROR(XLOOKUP(C2597,'Vendor Master'!$A$6:$A$15,'Vendor Master'!$B$6:$B$15,""),"")</f>
        <v/>
      </c>
      <c r="J2597">
        <f>IF(A2597="","",TEXT(A2597,"mmm-yyyy"))</f>
        <v/>
      </c>
    </row>
    <row r="2598">
      <c r="D2598">
        <f>IFERROR(XLOOKUP(C2598,'Vendor Master'!$A$6:$A$15,'Vendor Master'!$B$6:$B$15,""),"")</f>
        <v/>
      </c>
      <c r="J2598">
        <f>IF(A2598="","",TEXT(A2598,"mmm-yyyy"))</f>
        <v/>
      </c>
    </row>
    <row r="2599">
      <c r="D2599">
        <f>IFERROR(XLOOKUP(C2599,'Vendor Master'!$A$6:$A$15,'Vendor Master'!$B$6:$B$15,""),"")</f>
        <v/>
      </c>
      <c r="J2599">
        <f>IF(A2599="","",TEXT(A2599,"mmm-yyyy"))</f>
        <v/>
      </c>
    </row>
    <row r="2600">
      <c r="D2600">
        <f>IFERROR(XLOOKUP(C2600,'Vendor Master'!$A$6:$A$15,'Vendor Master'!$B$6:$B$15,""),"")</f>
        <v/>
      </c>
      <c r="J2600">
        <f>IF(A2600="","",TEXT(A2600,"mmm-yyyy"))</f>
        <v/>
      </c>
    </row>
    <row r="2601">
      <c r="D2601">
        <f>IFERROR(XLOOKUP(C2601,'Vendor Master'!$A$6:$A$15,'Vendor Master'!$B$6:$B$15,""),"")</f>
        <v/>
      </c>
      <c r="J2601">
        <f>IF(A2601="","",TEXT(A2601,"mmm-yyyy"))</f>
        <v/>
      </c>
    </row>
    <row r="2602">
      <c r="D2602">
        <f>IFERROR(XLOOKUP(C2602,'Vendor Master'!$A$6:$A$15,'Vendor Master'!$B$6:$B$15,""),"")</f>
        <v/>
      </c>
      <c r="J2602">
        <f>IF(A2602="","",TEXT(A2602,"mmm-yyyy"))</f>
        <v/>
      </c>
    </row>
    <row r="2603">
      <c r="D2603">
        <f>IFERROR(XLOOKUP(C2603,'Vendor Master'!$A$6:$A$15,'Vendor Master'!$B$6:$B$15,""),"")</f>
        <v/>
      </c>
      <c r="J2603">
        <f>IF(A2603="","",TEXT(A2603,"mmm-yyyy"))</f>
        <v/>
      </c>
    </row>
    <row r="2604">
      <c r="D2604">
        <f>IFERROR(XLOOKUP(C2604,'Vendor Master'!$A$6:$A$15,'Vendor Master'!$B$6:$B$15,""),"")</f>
        <v/>
      </c>
      <c r="J2604">
        <f>IF(A2604="","",TEXT(A2604,"mmm-yyyy"))</f>
        <v/>
      </c>
    </row>
    <row r="2605">
      <c r="D2605">
        <f>IFERROR(XLOOKUP(C2605,'Vendor Master'!$A$6:$A$15,'Vendor Master'!$B$6:$B$15,""),"")</f>
        <v/>
      </c>
      <c r="J2605">
        <f>IF(A2605="","",TEXT(A2605,"mmm-yyyy"))</f>
        <v/>
      </c>
    </row>
    <row r="2606">
      <c r="D2606">
        <f>IFERROR(XLOOKUP(C2606,'Vendor Master'!$A$6:$A$15,'Vendor Master'!$B$6:$B$15,""),"")</f>
        <v/>
      </c>
      <c r="J2606">
        <f>IF(A2606="","",TEXT(A2606,"mmm-yyyy"))</f>
        <v/>
      </c>
    </row>
    <row r="2607">
      <c r="D2607">
        <f>IFERROR(XLOOKUP(C2607,'Vendor Master'!$A$6:$A$15,'Vendor Master'!$B$6:$B$15,""),"")</f>
        <v/>
      </c>
      <c r="J2607">
        <f>IF(A2607="","",TEXT(A2607,"mmm-yyyy"))</f>
        <v/>
      </c>
    </row>
    <row r="2608">
      <c r="D2608">
        <f>IFERROR(XLOOKUP(C2608,'Vendor Master'!$A$6:$A$15,'Vendor Master'!$B$6:$B$15,""),"")</f>
        <v/>
      </c>
      <c r="J2608">
        <f>IF(A2608="","",TEXT(A2608,"mmm-yyyy"))</f>
        <v/>
      </c>
    </row>
    <row r="2609">
      <c r="D2609">
        <f>IFERROR(XLOOKUP(C2609,'Vendor Master'!$A$6:$A$15,'Vendor Master'!$B$6:$B$15,""),"")</f>
        <v/>
      </c>
      <c r="J2609">
        <f>IF(A2609="","",TEXT(A2609,"mmm-yyyy"))</f>
        <v/>
      </c>
    </row>
    <row r="2610">
      <c r="D2610">
        <f>IFERROR(XLOOKUP(C2610,'Vendor Master'!$A$6:$A$15,'Vendor Master'!$B$6:$B$15,""),"")</f>
        <v/>
      </c>
      <c r="J2610">
        <f>IF(A2610="","",TEXT(A2610,"mmm-yyyy"))</f>
        <v/>
      </c>
    </row>
    <row r="2611">
      <c r="D2611">
        <f>IFERROR(XLOOKUP(C2611,'Vendor Master'!$A$6:$A$15,'Vendor Master'!$B$6:$B$15,""),"")</f>
        <v/>
      </c>
      <c r="J2611">
        <f>IF(A2611="","",TEXT(A2611,"mmm-yyyy"))</f>
        <v/>
      </c>
    </row>
    <row r="2612">
      <c r="D2612">
        <f>IFERROR(XLOOKUP(C2612,'Vendor Master'!$A$6:$A$15,'Vendor Master'!$B$6:$B$15,""),"")</f>
        <v/>
      </c>
      <c r="J2612">
        <f>IF(A2612="","",TEXT(A2612,"mmm-yyyy"))</f>
        <v/>
      </c>
    </row>
    <row r="2613">
      <c r="D2613">
        <f>IFERROR(XLOOKUP(C2613,'Vendor Master'!$A$6:$A$15,'Vendor Master'!$B$6:$B$15,""),"")</f>
        <v/>
      </c>
      <c r="J2613">
        <f>IF(A2613="","",TEXT(A2613,"mmm-yyyy"))</f>
        <v/>
      </c>
    </row>
    <row r="2614">
      <c r="D2614">
        <f>IFERROR(XLOOKUP(C2614,'Vendor Master'!$A$6:$A$15,'Vendor Master'!$B$6:$B$15,""),"")</f>
        <v/>
      </c>
      <c r="J2614">
        <f>IF(A2614="","",TEXT(A2614,"mmm-yyyy"))</f>
        <v/>
      </c>
    </row>
    <row r="2615">
      <c r="D2615">
        <f>IFERROR(XLOOKUP(C2615,'Vendor Master'!$A$6:$A$15,'Vendor Master'!$B$6:$B$15,""),"")</f>
        <v/>
      </c>
      <c r="J2615">
        <f>IF(A2615="","",TEXT(A2615,"mmm-yyyy"))</f>
        <v/>
      </c>
    </row>
    <row r="2616">
      <c r="D2616">
        <f>IFERROR(XLOOKUP(C2616,'Vendor Master'!$A$6:$A$15,'Vendor Master'!$B$6:$B$15,""),"")</f>
        <v/>
      </c>
      <c r="J2616">
        <f>IF(A2616="","",TEXT(A2616,"mmm-yyyy"))</f>
        <v/>
      </c>
    </row>
    <row r="2617">
      <c r="D2617">
        <f>IFERROR(XLOOKUP(C2617,'Vendor Master'!$A$6:$A$15,'Vendor Master'!$B$6:$B$15,""),"")</f>
        <v/>
      </c>
      <c r="J2617">
        <f>IF(A2617="","",TEXT(A2617,"mmm-yyyy"))</f>
        <v/>
      </c>
    </row>
    <row r="2618">
      <c r="D2618">
        <f>IFERROR(XLOOKUP(C2618,'Vendor Master'!$A$6:$A$15,'Vendor Master'!$B$6:$B$15,""),"")</f>
        <v/>
      </c>
      <c r="J2618">
        <f>IF(A2618="","",TEXT(A2618,"mmm-yyyy"))</f>
        <v/>
      </c>
    </row>
    <row r="2619">
      <c r="D2619">
        <f>IFERROR(XLOOKUP(C2619,'Vendor Master'!$A$6:$A$15,'Vendor Master'!$B$6:$B$15,""),"")</f>
        <v/>
      </c>
      <c r="J2619">
        <f>IF(A2619="","",TEXT(A2619,"mmm-yyyy"))</f>
        <v/>
      </c>
    </row>
    <row r="2620">
      <c r="D2620">
        <f>IFERROR(XLOOKUP(C2620,'Vendor Master'!$A$6:$A$15,'Vendor Master'!$B$6:$B$15,""),"")</f>
        <v/>
      </c>
      <c r="J2620">
        <f>IF(A2620="","",TEXT(A2620,"mmm-yyyy"))</f>
        <v/>
      </c>
    </row>
    <row r="2621">
      <c r="D2621">
        <f>IFERROR(XLOOKUP(C2621,'Vendor Master'!$A$6:$A$15,'Vendor Master'!$B$6:$B$15,""),"")</f>
        <v/>
      </c>
      <c r="J2621">
        <f>IF(A2621="","",TEXT(A2621,"mmm-yyyy"))</f>
        <v/>
      </c>
    </row>
    <row r="2622">
      <c r="D2622">
        <f>IFERROR(XLOOKUP(C2622,'Vendor Master'!$A$6:$A$15,'Vendor Master'!$B$6:$B$15,""),"")</f>
        <v/>
      </c>
      <c r="J2622">
        <f>IF(A2622="","",TEXT(A2622,"mmm-yyyy"))</f>
        <v/>
      </c>
    </row>
    <row r="2623">
      <c r="D2623">
        <f>IFERROR(XLOOKUP(C2623,'Vendor Master'!$A$6:$A$15,'Vendor Master'!$B$6:$B$15,""),"")</f>
        <v/>
      </c>
      <c r="J2623">
        <f>IF(A2623="","",TEXT(A2623,"mmm-yyyy"))</f>
        <v/>
      </c>
    </row>
    <row r="2624">
      <c r="D2624">
        <f>IFERROR(XLOOKUP(C2624,'Vendor Master'!$A$6:$A$15,'Vendor Master'!$B$6:$B$15,""),"")</f>
        <v/>
      </c>
      <c r="J2624">
        <f>IF(A2624="","",TEXT(A2624,"mmm-yyyy"))</f>
        <v/>
      </c>
    </row>
    <row r="2625">
      <c r="D2625">
        <f>IFERROR(XLOOKUP(C2625,'Vendor Master'!$A$6:$A$15,'Vendor Master'!$B$6:$B$15,""),"")</f>
        <v/>
      </c>
      <c r="J2625">
        <f>IF(A2625="","",TEXT(A2625,"mmm-yyyy"))</f>
        <v/>
      </c>
    </row>
    <row r="2626">
      <c r="D2626">
        <f>IFERROR(XLOOKUP(C2626,'Vendor Master'!$A$6:$A$15,'Vendor Master'!$B$6:$B$15,""),"")</f>
        <v/>
      </c>
      <c r="J2626">
        <f>IF(A2626="","",TEXT(A2626,"mmm-yyyy"))</f>
        <v/>
      </c>
    </row>
    <row r="2627">
      <c r="D2627">
        <f>IFERROR(XLOOKUP(C2627,'Vendor Master'!$A$6:$A$15,'Vendor Master'!$B$6:$B$15,""),"")</f>
        <v/>
      </c>
      <c r="J2627">
        <f>IF(A2627="","",TEXT(A2627,"mmm-yyyy"))</f>
        <v/>
      </c>
    </row>
    <row r="2628">
      <c r="D2628">
        <f>IFERROR(XLOOKUP(C2628,'Vendor Master'!$A$6:$A$15,'Vendor Master'!$B$6:$B$15,""),"")</f>
        <v/>
      </c>
      <c r="J2628">
        <f>IF(A2628="","",TEXT(A2628,"mmm-yyyy"))</f>
        <v/>
      </c>
    </row>
    <row r="2629">
      <c r="D2629">
        <f>IFERROR(XLOOKUP(C2629,'Vendor Master'!$A$6:$A$15,'Vendor Master'!$B$6:$B$15,""),"")</f>
        <v/>
      </c>
      <c r="J2629">
        <f>IF(A2629="","",TEXT(A2629,"mmm-yyyy"))</f>
        <v/>
      </c>
    </row>
    <row r="2630">
      <c r="D2630">
        <f>IFERROR(XLOOKUP(C2630,'Vendor Master'!$A$6:$A$15,'Vendor Master'!$B$6:$B$15,""),"")</f>
        <v/>
      </c>
      <c r="J2630">
        <f>IF(A2630="","",TEXT(A2630,"mmm-yyyy"))</f>
        <v/>
      </c>
    </row>
    <row r="2631">
      <c r="D2631">
        <f>IFERROR(XLOOKUP(C2631,'Vendor Master'!$A$6:$A$15,'Vendor Master'!$B$6:$B$15,""),"")</f>
        <v/>
      </c>
      <c r="J2631">
        <f>IF(A2631="","",TEXT(A2631,"mmm-yyyy"))</f>
        <v/>
      </c>
    </row>
    <row r="2632">
      <c r="D2632">
        <f>IFERROR(XLOOKUP(C2632,'Vendor Master'!$A$6:$A$15,'Vendor Master'!$B$6:$B$15,""),"")</f>
        <v/>
      </c>
      <c r="J2632">
        <f>IF(A2632="","",TEXT(A2632,"mmm-yyyy"))</f>
        <v/>
      </c>
    </row>
    <row r="2633">
      <c r="D2633">
        <f>IFERROR(XLOOKUP(C2633,'Vendor Master'!$A$6:$A$15,'Vendor Master'!$B$6:$B$15,""),"")</f>
        <v/>
      </c>
      <c r="J2633">
        <f>IF(A2633="","",TEXT(A2633,"mmm-yyyy"))</f>
        <v/>
      </c>
    </row>
    <row r="2634">
      <c r="D2634">
        <f>IFERROR(XLOOKUP(C2634,'Vendor Master'!$A$6:$A$15,'Vendor Master'!$B$6:$B$15,""),"")</f>
        <v/>
      </c>
      <c r="J2634">
        <f>IF(A2634="","",TEXT(A2634,"mmm-yyyy"))</f>
        <v/>
      </c>
    </row>
    <row r="2635">
      <c r="D2635">
        <f>IFERROR(XLOOKUP(C2635,'Vendor Master'!$A$6:$A$15,'Vendor Master'!$B$6:$B$15,""),"")</f>
        <v/>
      </c>
      <c r="J2635">
        <f>IF(A2635="","",TEXT(A2635,"mmm-yyyy"))</f>
        <v/>
      </c>
    </row>
    <row r="2636">
      <c r="D2636">
        <f>IFERROR(XLOOKUP(C2636,'Vendor Master'!$A$6:$A$15,'Vendor Master'!$B$6:$B$15,""),"")</f>
        <v/>
      </c>
      <c r="J2636">
        <f>IF(A2636="","",TEXT(A2636,"mmm-yyyy"))</f>
        <v/>
      </c>
    </row>
    <row r="2637">
      <c r="D2637">
        <f>IFERROR(XLOOKUP(C2637,'Vendor Master'!$A$6:$A$15,'Vendor Master'!$B$6:$B$15,""),"")</f>
        <v/>
      </c>
      <c r="J2637">
        <f>IF(A2637="","",TEXT(A2637,"mmm-yyyy"))</f>
        <v/>
      </c>
    </row>
    <row r="2638">
      <c r="D2638">
        <f>IFERROR(XLOOKUP(C2638,'Vendor Master'!$A$6:$A$15,'Vendor Master'!$B$6:$B$15,""),"")</f>
        <v/>
      </c>
      <c r="J2638">
        <f>IF(A2638="","",TEXT(A2638,"mmm-yyyy"))</f>
        <v/>
      </c>
    </row>
    <row r="2639">
      <c r="D2639">
        <f>IFERROR(XLOOKUP(C2639,'Vendor Master'!$A$6:$A$15,'Vendor Master'!$B$6:$B$15,""),"")</f>
        <v/>
      </c>
      <c r="J2639">
        <f>IF(A2639="","",TEXT(A2639,"mmm-yyyy"))</f>
        <v/>
      </c>
    </row>
    <row r="2640">
      <c r="D2640">
        <f>IFERROR(XLOOKUP(C2640,'Vendor Master'!$A$6:$A$15,'Vendor Master'!$B$6:$B$15,""),"")</f>
        <v/>
      </c>
      <c r="J2640">
        <f>IF(A2640="","",TEXT(A2640,"mmm-yyyy"))</f>
        <v/>
      </c>
    </row>
    <row r="2641">
      <c r="D2641">
        <f>IFERROR(XLOOKUP(C2641,'Vendor Master'!$A$6:$A$15,'Vendor Master'!$B$6:$B$15,""),"")</f>
        <v/>
      </c>
      <c r="J2641">
        <f>IF(A2641="","",TEXT(A2641,"mmm-yyyy"))</f>
        <v/>
      </c>
    </row>
    <row r="2642">
      <c r="D2642">
        <f>IFERROR(XLOOKUP(C2642,'Vendor Master'!$A$6:$A$15,'Vendor Master'!$B$6:$B$15,""),"")</f>
        <v/>
      </c>
      <c r="J2642">
        <f>IF(A2642="","",TEXT(A2642,"mmm-yyyy"))</f>
        <v/>
      </c>
    </row>
    <row r="2643">
      <c r="D2643">
        <f>IFERROR(XLOOKUP(C2643,'Vendor Master'!$A$6:$A$15,'Vendor Master'!$B$6:$B$15,""),"")</f>
        <v/>
      </c>
      <c r="J2643">
        <f>IF(A2643="","",TEXT(A2643,"mmm-yyyy"))</f>
        <v/>
      </c>
    </row>
    <row r="2644">
      <c r="D2644">
        <f>IFERROR(XLOOKUP(C2644,'Vendor Master'!$A$6:$A$15,'Vendor Master'!$B$6:$B$15,""),"")</f>
        <v/>
      </c>
      <c r="J2644">
        <f>IF(A2644="","",TEXT(A2644,"mmm-yyyy"))</f>
        <v/>
      </c>
    </row>
    <row r="2645">
      <c r="D2645">
        <f>IFERROR(XLOOKUP(C2645,'Vendor Master'!$A$6:$A$15,'Vendor Master'!$B$6:$B$15,""),"")</f>
        <v/>
      </c>
      <c r="J2645">
        <f>IF(A2645="","",TEXT(A2645,"mmm-yyyy"))</f>
        <v/>
      </c>
    </row>
    <row r="2646">
      <c r="D2646">
        <f>IFERROR(XLOOKUP(C2646,'Vendor Master'!$A$6:$A$15,'Vendor Master'!$B$6:$B$15,""),"")</f>
        <v/>
      </c>
      <c r="J2646">
        <f>IF(A2646="","",TEXT(A2646,"mmm-yyyy"))</f>
        <v/>
      </c>
    </row>
    <row r="2647">
      <c r="D2647">
        <f>IFERROR(XLOOKUP(C2647,'Vendor Master'!$A$6:$A$15,'Vendor Master'!$B$6:$B$15,""),"")</f>
        <v/>
      </c>
      <c r="J2647">
        <f>IF(A2647="","",TEXT(A2647,"mmm-yyyy"))</f>
        <v/>
      </c>
    </row>
    <row r="2648">
      <c r="D2648">
        <f>IFERROR(XLOOKUP(C2648,'Vendor Master'!$A$6:$A$15,'Vendor Master'!$B$6:$B$15,""),"")</f>
        <v/>
      </c>
      <c r="J2648">
        <f>IF(A2648="","",TEXT(A2648,"mmm-yyyy"))</f>
        <v/>
      </c>
    </row>
    <row r="2649">
      <c r="D2649">
        <f>IFERROR(XLOOKUP(C2649,'Vendor Master'!$A$6:$A$15,'Vendor Master'!$B$6:$B$15,""),"")</f>
        <v/>
      </c>
      <c r="J2649">
        <f>IF(A2649="","",TEXT(A2649,"mmm-yyyy"))</f>
        <v/>
      </c>
    </row>
    <row r="2650">
      <c r="D2650">
        <f>IFERROR(XLOOKUP(C2650,'Vendor Master'!$A$6:$A$15,'Vendor Master'!$B$6:$B$15,""),"")</f>
        <v/>
      </c>
      <c r="J2650">
        <f>IF(A2650="","",TEXT(A2650,"mmm-yyyy"))</f>
        <v/>
      </c>
    </row>
    <row r="2651">
      <c r="D2651">
        <f>IFERROR(XLOOKUP(C2651,'Vendor Master'!$A$6:$A$15,'Vendor Master'!$B$6:$B$15,""),"")</f>
        <v/>
      </c>
      <c r="J2651">
        <f>IF(A2651="","",TEXT(A2651,"mmm-yyyy"))</f>
        <v/>
      </c>
    </row>
    <row r="2652">
      <c r="D2652">
        <f>IFERROR(XLOOKUP(C2652,'Vendor Master'!$A$6:$A$15,'Vendor Master'!$B$6:$B$15,""),"")</f>
        <v/>
      </c>
      <c r="J2652">
        <f>IF(A2652="","",TEXT(A2652,"mmm-yyyy"))</f>
        <v/>
      </c>
    </row>
    <row r="2653">
      <c r="D2653">
        <f>IFERROR(XLOOKUP(C2653,'Vendor Master'!$A$6:$A$15,'Vendor Master'!$B$6:$B$15,""),"")</f>
        <v/>
      </c>
      <c r="J2653">
        <f>IF(A2653="","",TEXT(A2653,"mmm-yyyy"))</f>
        <v/>
      </c>
    </row>
    <row r="2654">
      <c r="D2654">
        <f>IFERROR(XLOOKUP(C2654,'Vendor Master'!$A$6:$A$15,'Vendor Master'!$B$6:$B$15,""),"")</f>
        <v/>
      </c>
      <c r="J2654">
        <f>IF(A2654="","",TEXT(A2654,"mmm-yyyy"))</f>
        <v/>
      </c>
    </row>
    <row r="2655">
      <c r="D2655">
        <f>IFERROR(XLOOKUP(C2655,'Vendor Master'!$A$6:$A$15,'Vendor Master'!$B$6:$B$15,""),"")</f>
        <v/>
      </c>
      <c r="J2655">
        <f>IF(A2655="","",TEXT(A2655,"mmm-yyyy"))</f>
        <v/>
      </c>
    </row>
    <row r="2656">
      <c r="D2656">
        <f>IFERROR(XLOOKUP(C2656,'Vendor Master'!$A$6:$A$15,'Vendor Master'!$B$6:$B$15,""),"")</f>
        <v/>
      </c>
      <c r="J2656">
        <f>IF(A2656="","",TEXT(A2656,"mmm-yyyy"))</f>
        <v/>
      </c>
    </row>
    <row r="2657">
      <c r="D2657">
        <f>IFERROR(XLOOKUP(C2657,'Vendor Master'!$A$6:$A$15,'Vendor Master'!$B$6:$B$15,""),"")</f>
        <v/>
      </c>
      <c r="J2657">
        <f>IF(A2657="","",TEXT(A2657,"mmm-yyyy"))</f>
        <v/>
      </c>
    </row>
    <row r="2658">
      <c r="D2658">
        <f>IFERROR(XLOOKUP(C2658,'Vendor Master'!$A$6:$A$15,'Vendor Master'!$B$6:$B$15,""),"")</f>
        <v/>
      </c>
      <c r="J2658">
        <f>IF(A2658="","",TEXT(A2658,"mmm-yyyy"))</f>
        <v/>
      </c>
    </row>
    <row r="2659">
      <c r="D2659">
        <f>IFERROR(XLOOKUP(C2659,'Vendor Master'!$A$6:$A$15,'Vendor Master'!$B$6:$B$15,""),"")</f>
        <v/>
      </c>
      <c r="J2659">
        <f>IF(A2659="","",TEXT(A2659,"mmm-yyyy"))</f>
        <v/>
      </c>
    </row>
    <row r="2660">
      <c r="D2660">
        <f>IFERROR(XLOOKUP(C2660,'Vendor Master'!$A$6:$A$15,'Vendor Master'!$B$6:$B$15,""),"")</f>
        <v/>
      </c>
      <c r="J2660">
        <f>IF(A2660="","",TEXT(A2660,"mmm-yyyy"))</f>
        <v/>
      </c>
    </row>
    <row r="2661">
      <c r="D2661">
        <f>IFERROR(XLOOKUP(C2661,'Vendor Master'!$A$6:$A$15,'Vendor Master'!$B$6:$B$15,""),"")</f>
        <v/>
      </c>
      <c r="J2661">
        <f>IF(A2661="","",TEXT(A2661,"mmm-yyyy"))</f>
        <v/>
      </c>
    </row>
    <row r="2662">
      <c r="D2662">
        <f>IFERROR(XLOOKUP(C2662,'Vendor Master'!$A$6:$A$15,'Vendor Master'!$B$6:$B$15,""),"")</f>
        <v/>
      </c>
      <c r="J2662">
        <f>IF(A2662="","",TEXT(A2662,"mmm-yyyy"))</f>
        <v/>
      </c>
    </row>
    <row r="2663">
      <c r="D2663">
        <f>IFERROR(XLOOKUP(C2663,'Vendor Master'!$A$6:$A$15,'Vendor Master'!$B$6:$B$15,""),"")</f>
        <v/>
      </c>
      <c r="J2663">
        <f>IF(A2663="","",TEXT(A2663,"mmm-yyyy"))</f>
        <v/>
      </c>
    </row>
    <row r="2664">
      <c r="D2664">
        <f>IFERROR(XLOOKUP(C2664,'Vendor Master'!$A$6:$A$15,'Vendor Master'!$B$6:$B$15,""),"")</f>
        <v/>
      </c>
      <c r="J2664">
        <f>IF(A2664="","",TEXT(A2664,"mmm-yyyy"))</f>
        <v/>
      </c>
    </row>
    <row r="2665">
      <c r="D2665">
        <f>IFERROR(XLOOKUP(C2665,'Vendor Master'!$A$6:$A$15,'Vendor Master'!$B$6:$B$15,""),"")</f>
        <v/>
      </c>
      <c r="J2665">
        <f>IF(A2665="","",TEXT(A2665,"mmm-yyyy"))</f>
        <v/>
      </c>
    </row>
    <row r="2666">
      <c r="D2666">
        <f>IFERROR(XLOOKUP(C2666,'Vendor Master'!$A$6:$A$15,'Vendor Master'!$B$6:$B$15,""),"")</f>
        <v/>
      </c>
      <c r="J2666">
        <f>IF(A2666="","",TEXT(A2666,"mmm-yyyy"))</f>
        <v/>
      </c>
    </row>
    <row r="2667">
      <c r="D2667">
        <f>IFERROR(XLOOKUP(C2667,'Vendor Master'!$A$6:$A$15,'Vendor Master'!$B$6:$B$15,""),"")</f>
        <v/>
      </c>
      <c r="J2667">
        <f>IF(A2667="","",TEXT(A2667,"mmm-yyyy"))</f>
        <v/>
      </c>
    </row>
    <row r="2668">
      <c r="D2668">
        <f>IFERROR(XLOOKUP(C2668,'Vendor Master'!$A$6:$A$15,'Vendor Master'!$B$6:$B$15,""),"")</f>
        <v/>
      </c>
      <c r="J2668">
        <f>IF(A2668="","",TEXT(A2668,"mmm-yyyy"))</f>
        <v/>
      </c>
    </row>
    <row r="2669">
      <c r="D2669">
        <f>IFERROR(XLOOKUP(C2669,'Vendor Master'!$A$6:$A$15,'Vendor Master'!$B$6:$B$15,""),"")</f>
        <v/>
      </c>
      <c r="J2669">
        <f>IF(A2669="","",TEXT(A2669,"mmm-yyyy"))</f>
        <v/>
      </c>
    </row>
    <row r="2670">
      <c r="D2670">
        <f>IFERROR(XLOOKUP(C2670,'Vendor Master'!$A$6:$A$15,'Vendor Master'!$B$6:$B$15,""),"")</f>
        <v/>
      </c>
      <c r="J2670">
        <f>IF(A2670="","",TEXT(A2670,"mmm-yyyy"))</f>
        <v/>
      </c>
    </row>
    <row r="2671">
      <c r="D2671">
        <f>IFERROR(XLOOKUP(C2671,'Vendor Master'!$A$6:$A$15,'Vendor Master'!$B$6:$B$15,""),"")</f>
        <v/>
      </c>
      <c r="J2671">
        <f>IF(A2671="","",TEXT(A2671,"mmm-yyyy"))</f>
        <v/>
      </c>
    </row>
    <row r="2672">
      <c r="D2672">
        <f>IFERROR(XLOOKUP(C2672,'Vendor Master'!$A$6:$A$15,'Vendor Master'!$B$6:$B$15,""),"")</f>
        <v/>
      </c>
      <c r="J2672">
        <f>IF(A2672="","",TEXT(A2672,"mmm-yyyy"))</f>
        <v/>
      </c>
    </row>
    <row r="2673">
      <c r="D2673">
        <f>IFERROR(XLOOKUP(C2673,'Vendor Master'!$A$6:$A$15,'Vendor Master'!$B$6:$B$15,""),"")</f>
        <v/>
      </c>
      <c r="J2673">
        <f>IF(A2673="","",TEXT(A2673,"mmm-yyyy"))</f>
        <v/>
      </c>
    </row>
    <row r="2674">
      <c r="D2674">
        <f>IFERROR(XLOOKUP(C2674,'Vendor Master'!$A$6:$A$15,'Vendor Master'!$B$6:$B$15,""),"")</f>
        <v/>
      </c>
      <c r="J2674">
        <f>IF(A2674="","",TEXT(A2674,"mmm-yyyy"))</f>
        <v/>
      </c>
    </row>
    <row r="2675">
      <c r="D2675">
        <f>IFERROR(XLOOKUP(C2675,'Vendor Master'!$A$6:$A$15,'Vendor Master'!$B$6:$B$15,""),"")</f>
        <v/>
      </c>
      <c r="J2675">
        <f>IF(A2675="","",TEXT(A2675,"mmm-yyyy"))</f>
        <v/>
      </c>
    </row>
    <row r="2676">
      <c r="D2676">
        <f>IFERROR(XLOOKUP(C2676,'Vendor Master'!$A$6:$A$15,'Vendor Master'!$B$6:$B$15,""),"")</f>
        <v/>
      </c>
      <c r="J2676">
        <f>IF(A2676="","",TEXT(A2676,"mmm-yyyy"))</f>
        <v/>
      </c>
    </row>
    <row r="2677">
      <c r="D2677">
        <f>IFERROR(XLOOKUP(C2677,'Vendor Master'!$A$6:$A$15,'Vendor Master'!$B$6:$B$15,""),"")</f>
        <v/>
      </c>
      <c r="J2677">
        <f>IF(A2677="","",TEXT(A2677,"mmm-yyyy"))</f>
        <v/>
      </c>
    </row>
    <row r="2678">
      <c r="D2678">
        <f>IFERROR(XLOOKUP(C2678,'Vendor Master'!$A$6:$A$15,'Vendor Master'!$B$6:$B$15,""),"")</f>
        <v/>
      </c>
      <c r="J2678">
        <f>IF(A2678="","",TEXT(A2678,"mmm-yyyy"))</f>
        <v/>
      </c>
    </row>
    <row r="2679">
      <c r="D2679">
        <f>IFERROR(XLOOKUP(C2679,'Vendor Master'!$A$6:$A$15,'Vendor Master'!$B$6:$B$15,""),"")</f>
        <v/>
      </c>
      <c r="J2679">
        <f>IF(A2679="","",TEXT(A2679,"mmm-yyyy"))</f>
        <v/>
      </c>
    </row>
    <row r="2680">
      <c r="D2680">
        <f>IFERROR(XLOOKUP(C2680,'Vendor Master'!$A$6:$A$15,'Vendor Master'!$B$6:$B$15,""),"")</f>
        <v/>
      </c>
      <c r="J2680">
        <f>IF(A2680="","",TEXT(A2680,"mmm-yyyy"))</f>
        <v/>
      </c>
    </row>
    <row r="2681">
      <c r="D2681">
        <f>IFERROR(XLOOKUP(C2681,'Vendor Master'!$A$6:$A$15,'Vendor Master'!$B$6:$B$15,""),"")</f>
        <v/>
      </c>
      <c r="J2681">
        <f>IF(A2681="","",TEXT(A2681,"mmm-yyyy"))</f>
        <v/>
      </c>
    </row>
    <row r="2682">
      <c r="D2682">
        <f>IFERROR(XLOOKUP(C2682,'Vendor Master'!$A$6:$A$15,'Vendor Master'!$B$6:$B$15,""),"")</f>
        <v/>
      </c>
      <c r="J2682">
        <f>IF(A2682="","",TEXT(A2682,"mmm-yyyy"))</f>
        <v/>
      </c>
    </row>
    <row r="2683">
      <c r="D2683">
        <f>IFERROR(XLOOKUP(C2683,'Vendor Master'!$A$6:$A$15,'Vendor Master'!$B$6:$B$15,""),"")</f>
        <v/>
      </c>
      <c r="J2683">
        <f>IF(A2683="","",TEXT(A2683,"mmm-yyyy"))</f>
        <v/>
      </c>
    </row>
    <row r="2684">
      <c r="D2684">
        <f>IFERROR(XLOOKUP(C2684,'Vendor Master'!$A$6:$A$15,'Vendor Master'!$B$6:$B$15,""),"")</f>
        <v/>
      </c>
      <c r="J2684">
        <f>IF(A2684="","",TEXT(A2684,"mmm-yyyy"))</f>
        <v/>
      </c>
    </row>
    <row r="2685">
      <c r="D2685">
        <f>IFERROR(XLOOKUP(C2685,'Vendor Master'!$A$6:$A$15,'Vendor Master'!$B$6:$B$15,""),"")</f>
        <v/>
      </c>
      <c r="J2685">
        <f>IF(A2685="","",TEXT(A2685,"mmm-yyyy"))</f>
        <v/>
      </c>
    </row>
    <row r="2686">
      <c r="D2686">
        <f>IFERROR(XLOOKUP(C2686,'Vendor Master'!$A$6:$A$15,'Vendor Master'!$B$6:$B$15,""),"")</f>
        <v/>
      </c>
      <c r="J2686">
        <f>IF(A2686="","",TEXT(A2686,"mmm-yyyy"))</f>
        <v/>
      </c>
    </row>
    <row r="2687">
      <c r="D2687">
        <f>IFERROR(XLOOKUP(C2687,'Vendor Master'!$A$6:$A$15,'Vendor Master'!$B$6:$B$15,""),"")</f>
        <v/>
      </c>
      <c r="J2687">
        <f>IF(A2687="","",TEXT(A2687,"mmm-yyyy"))</f>
        <v/>
      </c>
    </row>
    <row r="2688">
      <c r="D2688">
        <f>IFERROR(XLOOKUP(C2688,'Vendor Master'!$A$6:$A$15,'Vendor Master'!$B$6:$B$15,""),"")</f>
        <v/>
      </c>
      <c r="J2688">
        <f>IF(A2688="","",TEXT(A2688,"mmm-yyyy"))</f>
        <v/>
      </c>
    </row>
    <row r="2689">
      <c r="D2689">
        <f>IFERROR(XLOOKUP(C2689,'Vendor Master'!$A$6:$A$15,'Vendor Master'!$B$6:$B$15,""),"")</f>
        <v/>
      </c>
      <c r="J2689">
        <f>IF(A2689="","",TEXT(A2689,"mmm-yyyy"))</f>
        <v/>
      </c>
    </row>
    <row r="2690">
      <c r="D2690">
        <f>IFERROR(XLOOKUP(C2690,'Vendor Master'!$A$6:$A$15,'Vendor Master'!$B$6:$B$15,""),"")</f>
        <v/>
      </c>
      <c r="J2690">
        <f>IF(A2690="","",TEXT(A2690,"mmm-yyyy"))</f>
        <v/>
      </c>
    </row>
    <row r="2691">
      <c r="D2691">
        <f>IFERROR(XLOOKUP(C2691,'Vendor Master'!$A$6:$A$15,'Vendor Master'!$B$6:$B$15,""),"")</f>
        <v/>
      </c>
      <c r="J2691">
        <f>IF(A2691="","",TEXT(A2691,"mmm-yyyy"))</f>
        <v/>
      </c>
    </row>
    <row r="2692">
      <c r="D2692">
        <f>IFERROR(XLOOKUP(C2692,'Vendor Master'!$A$6:$A$15,'Vendor Master'!$B$6:$B$15,""),"")</f>
        <v/>
      </c>
      <c r="J2692">
        <f>IF(A2692="","",TEXT(A2692,"mmm-yyyy"))</f>
        <v/>
      </c>
    </row>
    <row r="2693">
      <c r="D2693">
        <f>IFERROR(XLOOKUP(C2693,'Vendor Master'!$A$6:$A$15,'Vendor Master'!$B$6:$B$15,""),"")</f>
        <v/>
      </c>
      <c r="J2693">
        <f>IF(A2693="","",TEXT(A2693,"mmm-yyyy"))</f>
        <v/>
      </c>
    </row>
    <row r="2694">
      <c r="D2694">
        <f>IFERROR(XLOOKUP(C2694,'Vendor Master'!$A$6:$A$15,'Vendor Master'!$B$6:$B$15,""),"")</f>
        <v/>
      </c>
      <c r="J2694">
        <f>IF(A2694="","",TEXT(A2694,"mmm-yyyy"))</f>
        <v/>
      </c>
    </row>
    <row r="2695">
      <c r="D2695">
        <f>IFERROR(XLOOKUP(C2695,'Vendor Master'!$A$6:$A$15,'Vendor Master'!$B$6:$B$15,""),"")</f>
        <v/>
      </c>
      <c r="J2695">
        <f>IF(A2695="","",TEXT(A2695,"mmm-yyyy"))</f>
        <v/>
      </c>
    </row>
    <row r="2696">
      <c r="D2696">
        <f>IFERROR(XLOOKUP(C2696,'Vendor Master'!$A$6:$A$15,'Vendor Master'!$B$6:$B$15,""),"")</f>
        <v/>
      </c>
      <c r="J2696">
        <f>IF(A2696="","",TEXT(A2696,"mmm-yyyy"))</f>
        <v/>
      </c>
    </row>
    <row r="2697">
      <c r="D2697">
        <f>IFERROR(XLOOKUP(C2697,'Vendor Master'!$A$6:$A$15,'Vendor Master'!$B$6:$B$15,""),"")</f>
        <v/>
      </c>
      <c r="J2697">
        <f>IF(A2697="","",TEXT(A2697,"mmm-yyyy"))</f>
        <v/>
      </c>
    </row>
    <row r="2698">
      <c r="D2698">
        <f>IFERROR(XLOOKUP(C2698,'Vendor Master'!$A$6:$A$15,'Vendor Master'!$B$6:$B$15,""),"")</f>
        <v/>
      </c>
      <c r="J2698">
        <f>IF(A2698="","",TEXT(A2698,"mmm-yyyy"))</f>
        <v/>
      </c>
    </row>
    <row r="2699">
      <c r="D2699">
        <f>IFERROR(XLOOKUP(C2699,'Vendor Master'!$A$6:$A$15,'Vendor Master'!$B$6:$B$15,""),"")</f>
        <v/>
      </c>
      <c r="J2699">
        <f>IF(A2699="","",TEXT(A2699,"mmm-yyyy"))</f>
        <v/>
      </c>
    </row>
    <row r="2700">
      <c r="D2700">
        <f>IFERROR(XLOOKUP(C2700,'Vendor Master'!$A$6:$A$15,'Vendor Master'!$B$6:$B$15,""),"")</f>
        <v/>
      </c>
      <c r="J2700">
        <f>IF(A2700="","",TEXT(A2700,"mmm-yyyy"))</f>
        <v/>
      </c>
    </row>
    <row r="2701">
      <c r="D2701">
        <f>IFERROR(XLOOKUP(C2701,'Vendor Master'!$A$6:$A$15,'Vendor Master'!$B$6:$B$15,""),"")</f>
        <v/>
      </c>
      <c r="J2701">
        <f>IF(A2701="","",TEXT(A2701,"mmm-yyyy"))</f>
        <v/>
      </c>
    </row>
    <row r="2702">
      <c r="D2702">
        <f>IFERROR(XLOOKUP(C2702,'Vendor Master'!$A$6:$A$15,'Vendor Master'!$B$6:$B$15,""),"")</f>
        <v/>
      </c>
      <c r="J2702">
        <f>IF(A2702="","",TEXT(A2702,"mmm-yyyy"))</f>
        <v/>
      </c>
    </row>
    <row r="2703">
      <c r="D2703">
        <f>IFERROR(XLOOKUP(C2703,'Vendor Master'!$A$6:$A$15,'Vendor Master'!$B$6:$B$15,""),"")</f>
        <v/>
      </c>
      <c r="J2703">
        <f>IF(A2703="","",TEXT(A2703,"mmm-yyyy"))</f>
        <v/>
      </c>
    </row>
    <row r="2704">
      <c r="D2704">
        <f>IFERROR(XLOOKUP(C2704,'Vendor Master'!$A$6:$A$15,'Vendor Master'!$B$6:$B$15,""),"")</f>
        <v/>
      </c>
      <c r="J2704">
        <f>IF(A2704="","",TEXT(A2704,"mmm-yyyy"))</f>
        <v/>
      </c>
    </row>
    <row r="2705">
      <c r="D2705">
        <f>IFERROR(XLOOKUP(C2705,'Vendor Master'!$A$6:$A$15,'Vendor Master'!$B$6:$B$15,""),"")</f>
        <v/>
      </c>
      <c r="J2705">
        <f>IF(A2705="","",TEXT(A2705,"mmm-yyyy"))</f>
        <v/>
      </c>
    </row>
    <row r="2706">
      <c r="D2706">
        <f>IFERROR(XLOOKUP(C2706,'Vendor Master'!$A$6:$A$15,'Vendor Master'!$B$6:$B$15,""),"")</f>
        <v/>
      </c>
      <c r="J2706">
        <f>IF(A2706="","",TEXT(A2706,"mmm-yyyy"))</f>
        <v/>
      </c>
    </row>
    <row r="2707">
      <c r="D2707">
        <f>IFERROR(XLOOKUP(C2707,'Vendor Master'!$A$6:$A$15,'Vendor Master'!$B$6:$B$15,""),"")</f>
        <v/>
      </c>
      <c r="J2707">
        <f>IF(A2707="","",TEXT(A2707,"mmm-yyyy"))</f>
        <v/>
      </c>
    </row>
    <row r="2708">
      <c r="D2708">
        <f>IFERROR(XLOOKUP(C2708,'Vendor Master'!$A$6:$A$15,'Vendor Master'!$B$6:$B$15,""),"")</f>
        <v/>
      </c>
      <c r="J2708">
        <f>IF(A2708="","",TEXT(A2708,"mmm-yyyy"))</f>
        <v/>
      </c>
    </row>
    <row r="2709">
      <c r="D2709">
        <f>IFERROR(XLOOKUP(C2709,'Vendor Master'!$A$6:$A$15,'Vendor Master'!$B$6:$B$15,""),"")</f>
        <v/>
      </c>
      <c r="J2709">
        <f>IF(A2709="","",TEXT(A2709,"mmm-yyyy"))</f>
        <v/>
      </c>
    </row>
    <row r="2710">
      <c r="D2710">
        <f>IFERROR(XLOOKUP(C2710,'Vendor Master'!$A$6:$A$15,'Vendor Master'!$B$6:$B$15,""),"")</f>
        <v/>
      </c>
      <c r="J2710">
        <f>IF(A2710="","",TEXT(A2710,"mmm-yyyy"))</f>
        <v/>
      </c>
    </row>
    <row r="2711">
      <c r="D2711">
        <f>IFERROR(XLOOKUP(C2711,'Vendor Master'!$A$6:$A$15,'Vendor Master'!$B$6:$B$15,""),"")</f>
        <v/>
      </c>
      <c r="J2711">
        <f>IF(A2711="","",TEXT(A2711,"mmm-yyyy"))</f>
        <v/>
      </c>
    </row>
    <row r="2712">
      <c r="D2712">
        <f>IFERROR(XLOOKUP(C2712,'Vendor Master'!$A$6:$A$15,'Vendor Master'!$B$6:$B$15,""),"")</f>
        <v/>
      </c>
      <c r="J2712">
        <f>IF(A2712="","",TEXT(A2712,"mmm-yyyy"))</f>
        <v/>
      </c>
    </row>
    <row r="2713">
      <c r="D2713">
        <f>IFERROR(XLOOKUP(C2713,'Vendor Master'!$A$6:$A$15,'Vendor Master'!$B$6:$B$15,""),"")</f>
        <v/>
      </c>
      <c r="J2713">
        <f>IF(A2713="","",TEXT(A2713,"mmm-yyyy"))</f>
        <v/>
      </c>
    </row>
    <row r="2714">
      <c r="D2714">
        <f>IFERROR(XLOOKUP(C2714,'Vendor Master'!$A$6:$A$15,'Vendor Master'!$B$6:$B$15,""),"")</f>
        <v/>
      </c>
      <c r="J2714">
        <f>IF(A2714="","",TEXT(A2714,"mmm-yyyy"))</f>
        <v/>
      </c>
    </row>
    <row r="2715">
      <c r="D2715">
        <f>IFERROR(XLOOKUP(C2715,'Vendor Master'!$A$6:$A$15,'Vendor Master'!$B$6:$B$15,""),"")</f>
        <v/>
      </c>
      <c r="J2715">
        <f>IF(A2715="","",TEXT(A2715,"mmm-yyyy"))</f>
        <v/>
      </c>
    </row>
    <row r="2716">
      <c r="D2716">
        <f>IFERROR(XLOOKUP(C2716,'Vendor Master'!$A$6:$A$15,'Vendor Master'!$B$6:$B$15,""),"")</f>
        <v/>
      </c>
      <c r="J2716">
        <f>IF(A2716="","",TEXT(A2716,"mmm-yyyy"))</f>
        <v/>
      </c>
    </row>
    <row r="2717">
      <c r="D2717">
        <f>IFERROR(XLOOKUP(C2717,'Vendor Master'!$A$6:$A$15,'Vendor Master'!$B$6:$B$15,""),"")</f>
        <v/>
      </c>
      <c r="J2717">
        <f>IF(A2717="","",TEXT(A2717,"mmm-yyyy"))</f>
        <v/>
      </c>
    </row>
    <row r="2718">
      <c r="D2718">
        <f>IFERROR(XLOOKUP(C2718,'Vendor Master'!$A$6:$A$15,'Vendor Master'!$B$6:$B$15,""),"")</f>
        <v/>
      </c>
      <c r="J2718">
        <f>IF(A2718="","",TEXT(A2718,"mmm-yyyy"))</f>
        <v/>
      </c>
    </row>
    <row r="2719">
      <c r="D2719">
        <f>IFERROR(XLOOKUP(C2719,'Vendor Master'!$A$6:$A$15,'Vendor Master'!$B$6:$B$15,""),"")</f>
        <v/>
      </c>
      <c r="J2719">
        <f>IF(A2719="","",TEXT(A2719,"mmm-yyyy"))</f>
        <v/>
      </c>
    </row>
    <row r="2720">
      <c r="D2720">
        <f>IFERROR(XLOOKUP(C2720,'Vendor Master'!$A$6:$A$15,'Vendor Master'!$B$6:$B$15,""),"")</f>
        <v/>
      </c>
      <c r="J2720">
        <f>IF(A2720="","",TEXT(A2720,"mmm-yyyy"))</f>
        <v/>
      </c>
    </row>
    <row r="2721">
      <c r="D2721">
        <f>IFERROR(XLOOKUP(C2721,'Vendor Master'!$A$6:$A$15,'Vendor Master'!$B$6:$B$15,""),"")</f>
        <v/>
      </c>
      <c r="J2721">
        <f>IF(A2721="","",TEXT(A2721,"mmm-yyyy"))</f>
        <v/>
      </c>
    </row>
    <row r="2722">
      <c r="D2722">
        <f>IFERROR(XLOOKUP(C2722,'Vendor Master'!$A$6:$A$15,'Vendor Master'!$B$6:$B$15,""),"")</f>
        <v/>
      </c>
      <c r="J2722">
        <f>IF(A2722="","",TEXT(A2722,"mmm-yyyy"))</f>
        <v/>
      </c>
    </row>
    <row r="2723">
      <c r="D2723">
        <f>IFERROR(XLOOKUP(C2723,'Vendor Master'!$A$6:$A$15,'Vendor Master'!$B$6:$B$15,""),"")</f>
        <v/>
      </c>
      <c r="J2723">
        <f>IF(A2723="","",TEXT(A2723,"mmm-yyyy"))</f>
        <v/>
      </c>
    </row>
    <row r="2724">
      <c r="D2724">
        <f>IFERROR(XLOOKUP(C2724,'Vendor Master'!$A$6:$A$15,'Vendor Master'!$B$6:$B$15,""),"")</f>
        <v/>
      </c>
      <c r="J2724">
        <f>IF(A2724="","",TEXT(A2724,"mmm-yyyy"))</f>
        <v/>
      </c>
    </row>
    <row r="2725">
      <c r="D2725">
        <f>IFERROR(XLOOKUP(C2725,'Vendor Master'!$A$6:$A$15,'Vendor Master'!$B$6:$B$15,""),"")</f>
        <v/>
      </c>
      <c r="J2725">
        <f>IF(A2725="","",TEXT(A2725,"mmm-yyyy"))</f>
        <v/>
      </c>
    </row>
    <row r="2726">
      <c r="D2726">
        <f>IFERROR(XLOOKUP(C2726,'Vendor Master'!$A$6:$A$15,'Vendor Master'!$B$6:$B$15,""),"")</f>
        <v/>
      </c>
      <c r="J2726">
        <f>IF(A2726="","",TEXT(A2726,"mmm-yyyy"))</f>
        <v/>
      </c>
    </row>
    <row r="2727">
      <c r="D2727">
        <f>IFERROR(XLOOKUP(C2727,'Vendor Master'!$A$6:$A$15,'Vendor Master'!$B$6:$B$15,""),"")</f>
        <v/>
      </c>
      <c r="J2727">
        <f>IF(A2727="","",TEXT(A2727,"mmm-yyyy"))</f>
        <v/>
      </c>
    </row>
    <row r="2728">
      <c r="D2728">
        <f>IFERROR(XLOOKUP(C2728,'Vendor Master'!$A$6:$A$15,'Vendor Master'!$B$6:$B$15,""),"")</f>
        <v/>
      </c>
      <c r="J2728">
        <f>IF(A2728="","",TEXT(A2728,"mmm-yyyy"))</f>
        <v/>
      </c>
    </row>
    <row r="2729">
      <c r="D2729">
        <f>IFERROR(XLOOKUP(C2729,'Vendor Master'!$A$6:$A$15,'Vendor Master'!$B$6:$B$15,""),"")</f>
        <v/>
      </c>
      <c r="J2729">
        <f>IF(A2729="","",TEXT(A2729,"mmm-yyyy"))</f>
        <v/>
      </c>
    </row>
    <row r="2730">
      <c r="D2730">
        <f>IFERROR(XLOOKUP(C2730,'Vendor Master'!$A$6:$A$15,'Vendor Master'!$B$6:$B$15,""),"")</f>
        <v/>
      </c>
      <c r="J2730">
        <f>IF(A2730="","",TEXT(A2730,"mmm-yyyy"))</f>
        <v/>
      </c>
    </row>
    <row r="2731">
      <c r="D2731">
        <f>IFERROR(XLOOKUP(C2731,'Vendor Master'!$A$6:$A$15,'Vendor Master'!$B$6:$B$15,""),"")</f>
        <v/>
      </c>
      <c r="J2731">
        <f>IF(A2731="","",TEXT(A2731,"mmm-yyyy"))</f>
        <v/>
      </c>
    </row>
    <row r="2732">
      <c r="D2732">
        <f>IFERROR(XLOOKUP(C2732,'Vendor Master'!$A$6:$A$15,'Vendor Master'!$B$6:$B$15,""),"")</f>
        <v/>
      </c>
      <c r="J2732">
        <f>IF(A2732="","",TEXT(A2732,"mmm-yyyy"))</f>
        <v/>
      </c>
    </row>
    <row r="2733">
      <c r="D2733">
        <f>IFERROR(XLOOKUP(C2733,'Vendor Master'!$A$6:$A$15,'Vendor Master'!$B$6:$B$15,""),"")</f>
        <v/>
      </c>
      <c r="J2733">
        <f>IF(A2733="","",TEXT(A2733,"mmm-yyyy"))</f>
        <v/>
      </c>
    </row>
    <row r="2734">
      <c r="D2734">
        <f>IFERROR(XLOOKUP(C2734,'Vendor Master'!$A$6:$A$15,'Vendor Master'!$B$6:$B$15,""),"")</f>
        <v/>
      </c>
      <c r="J2734">
        <f>IF(A2734="","",TEXT(A2734,"mmm-yyyy"))</f>
        <v/>
      </c>
    </row>
    <row r="2735">
      <c r="D2735">
        <f>IFERROR(XLOOKUP(C2735,'Vendor Master'!$A$6:$A$15,'Vendor Master'!$B$6:$B$15,""),"")</f>
        <v/>
      </c>
      <c r="J2735">
        <f>IF(A2735="","",TEXT(A2735,"mmm-yyyy"))</f>
        <v/>
      </c>
    </row>
    <row r="2736">
      <c r="D2736">
        <f>IFERROR(XLOOKUP(C2736,'Vendor Master'!$A$6:$A$15,'Vendor Master'!$B$6:$B$15,""),"")</f>
        <v/>
      </c>
      <c r="J2736">
        <f>IF(A2736="","",TEXT(A2736,"mmm-yyyy"))</f>
        <v/>
      </c>
    </row>
    <row r="2737">
      <c r="D2737">
        <f>IFERROR(XLOOKUP(C2737,'Vendor Master'!$A$6:$A$15,'Vendor Master'!$B$6:$B$15,""),"")</f>
        <v/>
      </c>
      <c r="J2737">
        <f>IF(A2737="","",TEXT(A2737,"mmm-yyyy"))</f>
        <v/>
      </c>
    </row>
    <row r="2738">
      <c r="D2738">
        <f>IFERROR(XLOOKUP(C2738,'Vendor Master'!$A$6:$A$15,'Vendor Master'!$B$6:$B$15,""),"")</f>
        <v/>
      </c>
      <c r="J2738">
        <f>IF(A2738="","",TEXT(A2738,"mmm-yyyy"))</f>
        <v/>
      </c>
    </row>
    <row r="2739">
      <c r="D2739">
        <f>IFERROR(XLOOKUP(C2739,'Vendor Master'!$A$6:$A$15,'Vendor Master'!$B$6:$B$15,""),"")</f>
        <v/>
      </c>
      <c r="J2739">
        <f>IF(A2739="","",TEXT(A2739,"mmm-yyyy"))</f>
        <v/>
      </c>
    </row>
    <row r="2740">
      <c r="D2740">
        <f>IFERROR(XLOOKUP(C2740,'Vendor Master'!$A$6:$A$15,'Vendor Master'!$B$6:$B$15,""),"")</f>
        <v/>
      </c>
      <c r="J2740">
        <f>IF(A2740="","",TEXT(A2740,"mmm-yyyy"))</f>
        <v/>
      </c>
    </row>
    <row r="2741">
      <c r="D2741">
        <f>IFERROR(XLOOKUP(C2741,'Vendor Master'!$A$6:$A$15,'Vendor Master'!$B$6:$B$15,""),"")</f>
        <v/>
      </c>
      <c r="J2741">
        <f>IF(A2741="","",TEXT(A2741,"mmm-yyyy"))</f>
        <v/>
      </c>
    </row>
    <row r="2742">
      <c r="D2742">
        <f>IFERROR(XLOOKUP(C2742,'Vendor Master'!$A$6:$A$15,'Vendor Master'!$B$6:$B$15,""),"")</f>
        <v/>
      </c>
      <c r="J2742">
        <f>IF(A2742="","",TEXT(A2742,"mmm-yyyy"))</f>
        <v/>
      </c>
    </row>
    <row r="2743">
      <c r="D2743">
        <f>IFERROR(XLOOKUP(C2743,'Vendor Master'!$A$6:$A$15,'Vendor Master'!$B$6:$B$15,""),"")</f>
        <v/>
      </c>
      <c r="J2743">
        <f>IF(A2743="","",TEXT(A2743,"mmm-yyyy"))</f>
        <v/>
      </c>
    </row>
    <row r="2744">
      <c r="D2744">
        <f>IFERROR(XLOOKUP(C2744,'Vendor Master'!$A$6:$A$15,'Vendor Master'!$B$6:$B$15,""),"")</f>
        <v/>
      </c>
      <c r="J2744">
        <f>IF(A2744="","",TEXT(A2744,"mmm-yyyy"))</f>
        <v/>
      </c>
    </row>
    <row r="2745">
      <c r="D2745">
        <f>IFERROR(XLOOKUP(C2745,'Vendor Master'!$A$6:$A$15,'Vendor Master'!$B$6:$B$15,""),"")</f>
        <v/>
      </c>
      <c r="J2745">
        <f>IF(A2745="","",TEXT(A2745,"mmm-yyyy"))</f>
        <v/>
      </c>
    </row>
    <row r="2746">
      <c r="D2746">
        <f>IFERROR(XLOOKUP(C2746,'Vendor Master'!$A$6:$A$15,'Vendor Master'!$B$6:$B$15,""),"")</f>
        <v/>
      </c>
      <c r="J2746">
        <f>IF(A2746="","",TEXT(A2746,"mmm-yyyy"))</f>
        <v/>
      </c>
    </row>
    <row r="2747">
      <c r="D2747">
        <f>IFERROR(XLOOKUP(C2747,'Vendor Master'!$A$6:$A$15,'Vendor Master'!$B$6:$B$15,""),"")</f>
        <v/>
      </c>
      <c r="J2747">
        <f>IF(A2747="","",TEXT(A2747,"mmm-yyyy"))</f>
        <v/>
      </c>
    </row>
    <row r="2748">
      <c r="D2748">
        <f>IFERROR(XLOOKUP(C2748,'Vendor Master'!$A$6:$A$15,'Vendor Master'!$B$6:$B$15,""),"")</f>
        <v/>
      </c>
      <c r="J2748">
        <f>IF(A2748="","",TEXT(A2748,"mmm-yyyy"))</f>
        <v/>
      </c>
    </row>
    <row r="2749">
      <c r="D2749">
        <f>IFERROR(XLOOKUP(C2749,'Vendor Master'!$A$6:$A$15,'Vendor Master'!$B$6:$B$15,""),"")</f>
        <v/>
      </c>
      <c r="J2749">
        <f>IF(A2749="","",TEXT(A2749,"mmm-yyyy"))</f>
        <v/>
      </c>
    </row>
    <row r="2750">
      <c r="D2750">
        <f>IFERROR(XLOOKUP(C2750,'Vendor Master'!$A$6:$A$15,'Vendor Master'!$B$6:$B$15,""),"")</f>
        <v/>
      </c>
      <c r="J2750">
        <f>IF(A2750="","",TEXT(A2750,"mmm-yyyy"))</f>
        <v/>
      </c>
    </row>
    <row r="2751">
      <c r="D2751">
        <f>IFERROR(XLOOKUP(C2751,'Vendor Master'!$A$6:$A$15,'Vendor Master'!$B$6:$B$15,""),"")</f>
        <v/>
      </c>
      <c r="J2751">
        <f>IF(A2751="","",TEXT(A2751,"mmm-yyyy"))</f>
        <v/>
      </c>
    </row>
    <row r="2752">
      <c r="D2752">
        <f>IFERROR(XLOOKUP(C2752,'Vendor Master'!$A$6:$A$15,'Vendor Master'!$B$6:$B$15,""),"")</f>
        <v/>
      </c>
      <c r="J2752">
        <f>IF(A2752="","",TEXT(A2752,"mmm-yyyy"))</f>
        <v/>
      </c>
    </row>
    <row r="2753">
      <c r="D2753">
        <f>IFERROR(XLOOKUP(C2753,'Vendor Master'!$A$6:$A$15,'Vendor Master'!$B$6:$B$15,""),"")</f>
        <v/>
      </c>
      <c r="J2753">
        <f>IF(A2753="","",TEXT(A2753,"mmm-yyyy"))</f>
        <v/>
      </c>
    </row>
    <row r="2754">
      <c r="D2754">
        <f>IFERROR(XLOOKUP(C2754,'Vendor Master'!$A$6:$A$15,'Vendor Master'!$B$6:$B$15,""),"")</f>
        <v/>
      </c>
      <c r="J2754">
        <f>IF(A2754="","",TEXT(A2754,"mmm-yyyy"))</f>
        <v/>
      </c>
    </row>
    <row r="2755">
      <c r="D2755">
        <f>IFERROR(XLOOKUP(C2755,'Vendor Master'!$A$6:$A$15,'Vendor Master'!$B$6:$B$15,""),"")</f>
        <v/>
      </c>
      <c r="J2755">
        <f>IF(A2755="","",TEXT(A2755,"mmm-yyyy"))</f>
        <v/>
      </c>
    </row>
    <row r="2756">
      <c r="D2756">
        <f>IFERROR(XLOOKUP(C2756,'Vendor Master'!$A$6:$A$15,'Vendor Master'!$B$6:$B$15,""),"")</f>
        <v/>
      </c>
      <c r="J2756">
        <f>IF(A2756="","",TEXT(A2756,"mmm-yyyy"))</f>
        <v/>
      </c>
    </row>
    <row r="2757">
      <c r="D2757">
        <f>IFERROR(XLOOKUP(C2757,'Vendor Master'!$A$6:$A$15,'Vendor Master'!$B$6:$B$15,""),"")</f>
        <v/>
      </c>
      <c r="J2757">
        <f>IF(A2757="","",TEXT(A2757,"mmm-yyyy"))</f>
        <v/>
      </c>
    </row>
    <row r="2758">
      <c r="D2758">
        <f>IFERROR(XLOOKUP(C2758,'Vendor Master'!$A$6:$A$15,'Vendor Master'!$B$6:$B$15,""),"")</f>
        <v/>
      </c>
      <c r="J2758">
        <f>IF(A2758="","",TEXT(A2758,"mmm-yyyy"))</f>
        <v/>
      </c>
    </row>
    <row r="2759">
      <c r="D2759">
        <f>IFERROR(XLOOKUP(C2759,'Vendor Master'!$A$6:$A$15,'Vendor Master'!$B$6:$B$15,""),"")</f>
        <v/>
      </c>
      <c r="J2759">
        <f>IF(A2759="","",TEXT(A2759,"mmm-yyyy"))</f>
        <v/>
      </c>
    </row>
    <row r="2760">
      <c r="D2760">
        <f>IFERROR(XLOOKUP(C2760,'Vendor Master'!$A$6:$A$15,'Vendor Master'!$B$6:$B$15,""),"")</f>
        <v/>
      </c>
      <c r="J2760">
        <f>IF(A2760="","",TEXT(A2760,"mmm-yyyy"))</f>
        <v/>
      </c>
    </row>
    <row r="2761">
      <c r="D2761">
        <f>IFERROR(XLOOKUP(C2761,'Vendor Master'!$A$6:$A$15,'Vendor Master'!$B$6:$B$15,""),"")</f>
        <v/>
      </c>
      <c r="J2761">
        <f>IF(A2761="","",TEXT(A2761,"mmm-yyyy"))</f>
        <v/>
      </c>
    </row>
    <row r="2762">
      <c r="D2762">
        <f>IFERROR(XLOOKUP(C2762,'Vendor Master'!$A$6:$A$15,'Vendor Master'!$B$6:$B$15,""),"")</f>
        <v/>
      </c>
      <c r="J2762">
        <f>IF(A2762="","",TEXT(A2762,"mmm-yyyy"))</f>
        <v/>
      </c>
    </row>
    <row r="2763">
      <c r="D2763">
        <f>IFERROR(XLOOKUP(C2763,'Vendor Master'!$A$6:$A$15,'Vendor Master'!$B$6:$B$15,""),"")</f>
        <v/>
      </c>
      <c r="J2763">
        <f>IF(A2763="","",TEXT(A2763,"mmm-yyyy"))</f>
        <v/>
      </c>
    </row>
    <row r="2764">
      <c r="D2764">
        <f>IFERROR(XLOOKUP(C2764,'Vendor Master'!$A$6:$A$15,'Vendor Master'!$B$6:$B$15,""),"")</f>
        <v/>
      </c>
      <c r="J2764">
        <f>IF(A2764="","",TEXT(A2764,"mmm-yyyy"))</f>
        <v/>
      </c>
    </row>
    <row r="2765">
      <c r="D2765">
        <f>IFERROR(XLOOKUP(C2765,'Vendor Master'!$A$6:$A$15,'Vendor Master'!$B$6:$B$15,""),"")</f>
        <v/>
      </c>
      <c r="J2765">
        <f>IF(A2765="","",TEXT(A2765,"mmm-yyyy"))</f>
        <v/>
      </c>
    </row>
    <row r="2766">
      <c r="D2766">
        <f>IFERROR(XLOOKUP(C2766,'Vendor Master'!$A$6:$A$15,'Vendor Master'!$B$6:$B$15,""),"")</f>
        <v/>
      </c>
      <c r="J2766">
        <f>IF(A2766="","",TEXT(A2766,"mmm-yyyy"))</f>
        <v/>
      </c>
    </row>
    <row r="2767">
      <c r="D2767">
        <f>IFERROR(XLOOKUP(C2767,'Vendor Master'!$A$6:$A$15,'Vendor Master'!$B$6:$B$15,""),"")</f>
        <v/>
      </c>
      <c r="J2767">
        <f>IF(A2767="","",TEXT(A2767,"mmm-yyyy"))</f>
        <v/>
      </c>
    </row>
    <row r="2768">
      <c r="D2768">
        <f>IFERROR(XLOOKUP(C2768,'Vendor Master'!$A$6:$A$15,'Vendor Master'!$B$6:$B$15,""),"")</f>
        <v/>
      </c>
      <c r="J2768">
        <f>IF(A2768="","",TEXT(A2768,"mmm-yyyy"))</f>
        <v/>
      </c>
    </row>
    <row r="2769">
      <c r="D2769">
        <f>IFERROR(XLOOKUP(C2769,'Vendor Master'!$A$6:$A$15,'Vendor Master'!$B$6:$B$15,""),"")</f>
        <v/>
      </c>
      <c r="J2769">
        <f>IF(A2769="","",TEXT(A2769,"mmm-yyyy"))</f>
        <v/>
      </c>
    </row>
    <row r="2770">
      <c r="D2770">
        <f>IFERROR(XLOOKUP(C2770,'Vendor Master'!$A$6:$A$15,'Vendor Master'!$B$6:$B$15,""),"")</f>
        <v/>
      </c>
      <c r="J2770">
        <f>IF(A2770="","",TEXT(A2770,"mmm-yyyy"))</f>
        <v/>
      </c>
    </row>
    <row r="2771">
      <c r="D2771">
        <f>IFERROR(XLOOKUP(C2771,'Vendor Master'!$A$6:$A$15,'Vendor Master'!$B$6:$B$15,""),"")</f>
        <v/>
      </c>
      <c r="J2771">
        <f>IF(A2771="","",TEXT(A2771,"mmm-yyyy"))</f>
        <v/>
      </c>
    </row>
    <row r="2772">
      <c r="D2772">
        <f>IFERROR(XLOOKUP(C2772,'Vendor Master'!$A$6:$A$15,'Vendor Master'!$B$6:$B$15,""),"")</f>
        <v/>
      </c>
      <c r="J2772">
        <f>IF(A2772="","",TEXT(A2772,"mmm-yyyy"))</f>
        <v/>
      </c>
    </row>
    <row r="2773">
      <c r="D2773">
        <f>IFERROR(XLOOKUP(C2773,'Vendor Master'!$A$6:$A$15,'Vendor Master'!$B$6:$B$15,""),"")</f>
        <v/>
      </c>
      <c r="J2773">
        <f>IF(A2773="","",TEXT(A2773,"mmm-yyyy"))</f>
        <v/>
      </c>
    </row>
    <row r="2774">
      <c r="D2774">
        <f>IFERROR(XLOOKUP(C2774,'Vendor Master'!$A$6:$A$15,'Vendor Master'!$B$6:$B$15,""),"")</f>
        <v/>
      </c>
      <c r="J2774">
        <f>IF(A2774="","",TEXT(A2774,"mmm-yyyy"))</f>
        <v/>
      </c>
    </row>
    <row r="2775">
      <c r="D2775">
        <f>IFERROR(XLOOKUP(C2775,'Vendor Master'!$A$6:$A$15,'Vendor Master'!$B$6:$B$15,""),"")</f>
        <v/>
      </c>
      <c r="J2775">
        <f>IF(A2775="","",TEXT(A2775,"mmm-yyyy"))</f>
        <v/>
      </c>
    </row>
    <row r="2776">
      <c r="D2776">
        <f>IFERROR(XLOOKUP(C2776,'Vendor Master'!$A$6:$A$15,'Vendor Master'!$B$6:$B$15,""),"")</f>
        <v/>
      </c>
      <c r="J2776">
        <f>IF(A2776="","",TEXT(A2776,"mmm-yyyy"))</f>
        <v/>
      </c>
    </row>
    <row r="2777">
      <c r="D2777">
        <f>IFERROR(XLOOKUP(C2777,'Vendor Master'!$A$6:$A$15,'Vendor Master'!$B$6:$B$15,""),"")</f>
        <v/>
      </c>
      <c r="J2777">
        <f>IF(A2777="","",TEXT(A2777,"mmm-yyyy"))</f>
        <v/>
      </c>
    </row>
    <row r="2778">
      <c r="D2778">
        <f>IFERROR(XLOOKUP(C2778,'Vendor Master'!$A$6:$A$15,'Vendor Master'!$B$6:$B$15,""),"")</f>
        <v/>
      </c>
      <c r="J2778">
        <f>IF(A2778="","",TEXT(A2778,"mmm-yyyy"))</f>
        <v/>
      </c>
    </row>
    <row r="2779">
      <c r="D2779">
        <f>IFERROR(XLOOKUP(C2779,'Vendor Master'!$A$6:$A$15,'Vendor Master'!$B$6:$B$15,""),"")</f>
        <v/>
      </c>
      <c r="J2779">
        <f>IF(A2779="","",TEXT(A2779,"mmm-yyyy"))</f>
        <v/>
      </c>
    </row>
    <row r="2780">
      <c r="D2780">
        <f>IFERROR(XLOOKUP(C2780,'Vendor Master'!$A$6:$A$15,'Vendor Master'!$B$6:$B$15,""),"")</f>
        <v/>
      </c>
      <c r="J2780">
        <f>IF(A2780="","",TEXT(A2780,"mmm-yyyy"))</f>
        <v/>
      </c>
    </row>
    <row r="2781">
      <c r="D2781">
        <f>IFERROR(XLOOKUP(C2781,'Vendor Master'!$A$6:$A$15,'Vendor Master'!$B$6:$B$15,""),"")</f>
        <v/>
      </c>
      <c r="J2781">
        <f>IF(A2781="","",TEXT(A2781,"mmm-yyyy"))</f>
        <v/>
      </c>
    </row>
    <row r="2782">
      <c r="D2782">
        <f>IFERROR(XLOOKUP(C2782,'Vendor Master'!$A$6:$A$15,'Vendor Master'!$B$6:$B$15,""),"")</f>
        <v/>
      </c>
      <c r="J2782">
        <f>IF(A2782="","",TEXT(A2782,"mmm-yyyy"))</f>
        <v/>
      </c>
    </row>
    <row r="2783">
      <c r="D2783">
        <f>IFERROR(XLOOKUP(C2783,'Vendor Master'!$A$6:$A$15,'Vendor Master'!$B$6:$B$15,""),"")</f>
        <v/>
      </c>
      <c r="J2783">
        <f>IF(A2783="","",TEXT(A2783,"mmm-yyyy"))</f>
        <v/>
      </c>
    </row>
    <row r="2784">
      <c r="D2784">
        <f>IFERROR(XLOOKUP(C2784,'Vendor Master'!$A$6:$A$15,'Vendor Master'!$B$6:$B$15,""),"")</f>
        <v/>
      </c>
      <c r="J2784">
        <f>IF(A2784="","",TEXT(A2784,"mmm-yyyy"))</f>
        <v/>
      </c>
    </row>
    <row r="2785">
      <c r="D2785">
        <f>IFERROR(XLOOKUP(C2785,'Vendor Master'!$A$6:$A$15,'Vendor Master'!$B$6:$B$15,""),"")</f>
        <v/>
      </c>
      <c r="J2785">
        <f>IF(A2785="","",TEXT(A2785,"mmm-yyyy"))</f>
        <v/>
      </c>
    </row>
    <row r="2786">
      <c r="D2786">
        <f>IFERROR(XLOOKUP(C2786,'Vendor Master'!$A$6:$A$15,'Vendor Master'!$B$6:$B$15,""),"")</f>
        <v/>
      </c>
      <c r="J2786">
        <f>IF(A2786="","",TEXT(A2786,"mmm-yyyy"))</f>
        <v/>
      </c>
    </row>
    <row r="2787">
      <c r="D2787">
        <f>IFERROR(XLOOKUP(C2787,'Vendor Master'!$A$6:$A$15,'Vendor Master'!$B$6:$B$15,""),"")</f>
        <v/>
      </c>
      <c r="J2787">
        <f>IF(A2787="","",TEXT(A2787,"mmm-yyyy"))</f>
        <v/>
      </c>
    </row>
    <row r="2788">
      <c r="D2788">
        <f>IFERROR(XLOOKUP(C2788,'Vendor Master'!$A$6:$A$15,'Vendor Master'!$B$6:$B$15,""),"")</f>
        <v/>
      </c>
      <c r="J2788">
        <f>IF(A2788="","",TEXT(A2788,"mmm-yyyy"))</f>
        <v/>
      </c>
    </row>
    <row r="2789">
      <c r="D2789">
        <f>IFERROR(XLOOKUP(C2789,'Vendor Master'!$A$6:$A$15,'Vendor Master'!$B$6:$B$15,""),"")</f>
        <v/>
      </c>
      <c r="J2789">
        <f>IF(A2789="","",TEXT(A2789,"mmm-yyyy"))</f>
        <v/>
      </c>
    </row>
    <row r="2790">
      <c r="D2790">
        <f>IFERROR(XLOOKUP(C2790,'Vendor Master'!$A$6:$A$15,'Vendor Master'!$B$6:$B$15,""),"")</f>
        <v/>
      </c>
      <c r="J2790">
        <f>IF(A2790="","",TEXT(A2790,"mmm-yyyy"))</f>
        <v/>
      </c>
    </row>
    <row r="2791">
      <c r="D2791">
        <f>IFERROR(XLOOKUP(C2791,'Vendor Master'!$A$6:$A$15,'Vendor Master'!$B$6:$B$15,""),"")</f>
        <v/>
      </c>
      <c r="J2791">
        <f>IF(A2791="","",TEXT(A2791,"mmm-yyyy"))</f>
        <v/>
      </c>
    </row>
    <row r="2792">
      <c r="D2792">
        <f>IFERROR(XLOOKUP(C2792,'Vendor Master'!$A$6:$A$15,'Vendor Master'!$B$6:$B$15,""),"")</f>
        <v/>
      </c>
      <c r="J2792">
        <f>IF(A2792="","",TEXT(A2792,"mmm-yyyy"))</f>
        <v/>
      </c>
    </row>
    <row r="2793">
      <c r="D2793">
        <f>IFERROR(XLOOKUP(C2793,'Vendor Master'!$A$6:$A$15,'Vendor Master'!$B$6:$B$15,""),"")</f>
        <v/>
      </c>
      <c r="J2793">
        <f>IF(A2793="","",TEXT(A2793,"mmm-yyyy"))</f>
        <v/>
      </c>
    </row>
    <row r="2794">
      <c r="D2794">
        <f>IFERROR(XLOOKUP(C2794,'Vendor Master'!$A$6:$A$15,'Vendor Master'!$B$6:$B$15,""),"")</f>
        <v/>
      </c>
      <c r="J2794">
        <f>IF(A2794="","",TEXT(A2794,"mmm-yyyy"))</f>
        <v/>
      </c>
    </row>
    <row r="2795">
      <c r="D2795">
        <f>IFERROR(XLOOKUP(C2795,'Vendor Master'!$A$6:$A$15,'Vendor Master'!$B$6:$B$15,""),"")</f>
        <v/>
      </c>
      <c r="J2795">
        <f>IF(A2795="","",TEXT(A2795,"mmm-yyyy"))</f>
        <v/>
      </c>
    </row>
    <row r="2796">
      <c r="D2796">
        <f>IFERROR(XLOOKUP(C2796,'Vendor Master'!$A$6:$A$15,'Vendor Master'!$B$6:$B$15,""),"")</f>
        <v/>
      </c>
      <c r="J2796">
        <f>IF(A2796="","",TEXT(A2796,"mmm-yyyy"))</f>
        <v/>
      </c>
    </row>
    <row r="2797">
      <c r="D2797">
        <f>IFERROR(XLOOKUP(C2797,'Vendor Master'!$A$6:$A$15,'Vendor Master'!$B$6:$B$15,""),"")</f>
        <v/>
      </c>
      <c r="J2797">
        <f>IF(A2797="","",TEXT(A2797,"mmm-yyyy"))</f>
        <v/>
      </c>
    </row>
    <row r="2798">
      <c r="D2798">
        <f>IFERROR(XLOOKUP(C2798,'Vendor Master'!$A$6:$A$15,'Vendor Master'!$B$6:$B$15,""),"")</f>
        <v/>
      </c>
      <c r="J2798">
        <f>IF(A2798="","",TEXT(A2798,"mmm-yyyy"))</f>
        <v/>
      </c>
    </row>
    <row r="2799">
      <c r="D2799">
        <f>IFERROR(XLOOKUP(C2799,'Vendor Master'!$A$6:$A$15,'Vendor Master'!$B$6:$B$15,""),"")</f>
        <v/>
      </c>
      <c r="J2799">
        <f>IF(A2799="","",TEXT(A2799,"mmm-yyyy"))</f>
        <v/>
      </c>
    </row>
    <row r="2800">
      <c r="D2800">
        <f>IFERROR(XLOOKUP(C2800,'Vendor Master'!$A$6:$A$15,'Vendor Master'!$B$6:$B$15,""),"")</f>
        <v/>
      </c>
      <c r="J2800">
        <f>IF(A2800="","",TEXT(A2800,"mmm-yyyy"))</f>
        <v/>
      </c>
    </row>
    <row r="2801">
      <c r="D2801">
        <f>IFERROR(XLOOKUP(C2801,'Vendor Master'!$A$6:$A$15,'Vendor Master'!$B$6:$B$15,""),"")</f>
        <v/>
      </c>
      <c r="J2801">
        <f>IF(A2801="","",TEXT(A2801,"mmm-yyyy"))</f>
        <v/>
      </c>
    </row>
    <row r="2802">
      <c r="D2802">
        <f>IFERROR(XLOOKUP(C2802,'Vendor Master'!$A$6:$A$15,'Vendor Master'!$B$6:$B$15,""),"")</f>
        <v/>
      </c>
      <c r="J2802">
        <f>IF(A2802="","",TEXT(A2802,"mmm-yyyy"))</f>
        <v/>
      </c>
    </row>
    <row r="2803">
      <c r="D2803">
        <f>IFERROR(XLOOKUP(C2803,'Vendor Master'!$A$6:$A$15,'Vendor Master'!$B$6:$B$15,""),"")</f>
        <v/>
      </c>
      <c r="J2803">
        <f>IF(A2803="","",TEXT(A2803,"mmm-yyyy"))</f>
        <v/>
      </c>
    </row>
    <row r="2804">
      <c r="D2804">
        <f>IFERROR(XLOOKUP(C2804,'Vendor Master'!$A$6:$A$15,'Vendor Master'!$B$6:$B$15,""),"")</f>
        <v/>
      </c>
      <c r="J2804">
        <f>IF(A2804="","",TEXT(A2804,"mmm-yyyy"))</f>
        <v/>
      </c>
    </row>
    <row r="2805">
      <c r="D2805">
        <f>IFERROR(XLOOKUP(C2805,'Vendor Master'!$A$6:$A$15,'Vendor Master'!$B$6:$B$15,""),"")</f>
        <v/>
      </c>
      <c r="J2805">
        <f>IF(A2805="","",TEXT(A2805,"mmm-yyyy"))</f>
        <v/>
      </c>
    </row>
    <row r="2806">
      <c r="D2806">
        <f>IFERROR(XLOOKUP(C2806,'Vendor Master'!$A$6:$A$15,'Vendor Master'!$B$6:$B$15,""),"")</f>
        <v/>
      </c>
      <c r="J2806">
        <f>IF(A2806="","",TEXT(A2806,"mmm-yyyy"))</f>
        <v/>
      </c>
    </row>
    <row r="2807">
      <c r="D2807">
        <f>IFERROR(XLOOKUP(C2807,'Vendor Master'!$A$6:$A$15,'Vendor Master'!$B$6:$B$15,""),"")</f>
        <v/>
      </c>
      <c r="J2807">
        <f>IF(A2807="","",TEXT(A2807,"mmm-yyyy"))</f>
        <v/>
      </c>
    </row>
    <row r="2808">
      <c r="D2808">
        <f>IFERROR(XLOOKUP(C2808,'Vendor Master'!$A$6:$A$15,'Vendor Master'!$B$6:$B$15,""),"")</f>
        <v/>
      </c>
      <c r="J2808">
        <f>IF(A2808="","",TEXT(A2808,"mmm-yyyy"))</f>
        <v/>
      </c>
    </row>
    <row r="2809">
      <c r="D2809">
        <f>IFERROR(XLOOKUP(C2809,'Vendor Master'!$A$6:$A$15,'Vendor Master'!$B$6:$B$15,""),"")</f>
        <v/>
      </c>
      <c r="J2809">
        <f>IF(A2809="","",TEXT(A2809,"mmm-yyyy"))</f>
        <v/>
      </c>
    </row>
    <row r="2810">
      <c r="D2810">
        <f>IFERROR(XLOOKUP(C2810,'Vendor Master'!$A$6:$A$15,'Vendor Master'!$B$6:$B$15,""),"")</f>
        <v/>
      </c>
      <c r="J2810">
        <f>IF(A2810="","",TEXT(A2810,"mmm-yyyy"))</f>
        <v/>
      </c>
    </row>
    <row r="2811">
      <c r="D2811">
        <f>IFERROR(XLOOKUP(C2811,'Vendor Master'!$A$6:$A$15,'Vendor Master'!$B$6:$B$15,""),"")</f>
        <v/>
      </c>
      <c r="J2811">
        <f>IF(A2811="","",TEXT(A2811,"mmm-yyyy"))</f>
        <v/>
      </c>
    </row>
    <row r="2812">
      <c r="D2812">
        <f>IFERROR(XLOOKUP(C2812,'Vendor Master'!$A$6:$A$15,'Vendor Master'!$B$6:$B$15,""),"")</f>
        <v/>
      </c>
      <c r="J2812">
        <f>IF(A2812="","",TEXT(A2812,"mmm-yyyy"))</f>
        <v/>
      </c>
    </row>
    <row r="2813">
      <c r="D2813">
        <f>IFERROR(XLOOKUP(C2813,'Vendor Master'!$A$6:$A$15,'Vendor Master'!$B$6:$B$15,""),"")</f>
        <v/>
      </c>
      <c r="J2813">
        <f>IF(A2813="","",TEXT(A2813,"mmm-yyyy"))</f>
        <v/>
      </c>
    </row>
    <row r="2814">
      <c r="D2814">
        <f>IFERROR(XLOOKUP(C2814,'Vendor Master'!$A$6:$A$15,'Vendor Master'!$B$6:$B$15,""),"")</f>
        <v/>
      </c>
      <c r="J2814">
        <f>IF(A2814="","",TEXT(A2814,"mmm-yyyy"))</f>
        <v/>
      </c>
    </row>
    <row r="2815">
      <c r="D2815">
        <f>IFERROR(XLOOKUP(C2815,'Vendor Master'!$A$6:$A$15,'Vendor Master'!$B$6:$B$15,""),"")</f>
        <v/>
      </c>
      <c r="J2815">
        <f>IF(A2815="","",TEXT(A2815,"mmm-yyyy"))</f>
        <v/>
      </c>
    </row>
    <row r="2816">
      <c r="D2816">
        <f>IFERROR(XLOOKUP(C2816,'Vendor Master'!$A$6:$A$15,'Vendor Master'!$B$6:$B$15,""),"")</f>
        <v/>
      </c>
      <c r="J2816">
        <f>IF(A2816="","",TEXT(A2816,"mmm-yyyy"))</f>
        <v/>
      </c>
    </row>
    <row r="2817">
      <c r="D2817">
        <f>IFERROR(XLOOKUP(C2817,'Vendor Master'!$A$6:$A$15,'Vendor Master'!$B$6:$B$15,""),"")</f>
        <v/>
      </c>
      <c r="J2817">
        <f>IF(A2817="","",TEXT(A2817,"mmm-yyyy"))</f>
        <v/>
      </c>
    </row>
    <row r="2818">
      <c r="D2818">
        <f>IFERROR(XLOOKUP(C2818,'Vendor Master'!$A$6:$A$15,'Vendor Master'!$B$6:$B$15,""),"")</f>
        <v/>
      </c>
      <c r="J2818">
        <f>IF(A2818="","",TEXT(A2818,"mmm-yyyy"))</f>
        <v/>
      </c>
    </row>
    <row r="2819">
      <c r="D2819">
        <f>IFERROR(XLOOKUP(C2819,'Vendor Master'!$A$6:$A$15,'Vendor Master'!$B$6:$B$15,""),"")</f>
        <v/>
      </c>
      <c r="J2819">
        <f>IF(A2819="","",TEXT(A2819,"mmm-yyyy"))</f>
        <v/>
      </c>
    </row>
    <row r="2820">
      <c r="D2820">
        <f>IFERROR(XLOOKUP(C2820,'Vendor Master'!$A$6:$A$15,'Vendor Master'!$B$6:$B$15,""),"")</f>
        <v/>
      </c>
      <c r="J2820">
        <f>IF(A2820="","",TEXT(A2820,"mmm-yyyy"))</f>
        <v/>
      </c>
    </row>
    <row r="2821">
      <c r="D2821">
        <f>IFERROR(XLOOKUP(C2821,'Vendor Master'!$A$6:$A$15,'Vendor Master'!$B$6:$B$15,""),"")</f>
        <v/>
      </c>
      <c r="J2821">
        <f>IF(A2821="","",TEXT(A2821,"mmm-yyyy"))</f>
        <v/>
      </c>
    </row>
    <row r="2822">
      <c r="D2822">
        <f>IFERROR(XLOOKUP(C2822,'Vendor Master'!$A$6:$A$15,'Vendor Master'!$B$6:$B$15,""),"")</f>
        <v/>
      </c>
      <c r="J2822">
        <f>IF(A2822="","",TEXT(A2822,"mmm-yyyy"))</f>
        <v/>
      </c>
    </row>
    <row r="2823">
      <c r="D2823">
        <f>IFERROR(XLOOKUP(C2823,'Vendor Master'!$A$6:$A$15,'Vendor Master'!$B$6:$B$15,""),"")</f>
        <v/>
      </c>
      <c r="J2823">
        <f>IF(A2823="","",TEXT(A2823,"mmm-yyyy"))</f>
        <v/>
      </c>
    </row>
    <row r="2824">
      <c r="D2824">
        <f>IFERROR(XLOOKUP(C2824,'Vendor Master'!$A$6:$A$15,'Vendor Master'!$B$6:$B$15,""),"")</f>
        <v/>
      </c>
      <c r="J2824">
        <f>IF(A2824="","",TEXT(A2824,"mmm-yyyy"))</f>
        <v/>
      </c>
    </row>
    <row r="2825">
      <c r="D2825">
        <f>IFERROR(XLOOKUP(C2825,'Vendor Master'!$A$6:$A$15,'Vendor Master'!$B$6:$B$15,""),"")</f>
        <v/>
      </c>
      <c r="J2825">
        <f>IF(A2825="","",TEXT(A2825,"mmm-yyyy"))</f>
        <v/>
      </c>
    </row>
    <row r="2826">
      <c r="D2826">
        <f>IFERROR(XLOOKUP(C2826,'Vendor Master'!$A$6:$A$15,'Vendor Master'!$B$6:$B$15,""),"")</f>
        <v/>
      </c>
      <c r="J2826">
        <f>IF(A2826="","",TEXT(A2826,"mmm-yyyy"))</f>
        <v/>
      </c>
    </row>
    <row r="2827">
      <c r="D2827">
        <f>IFERROR(XLOOKUP(C2827,'Vendor Master'!$A$6:$A$15,'Vendor Master'!$B$6:$B$15,""),"")</f>
        <v/>
      </c>
      <c r="J2827">
        <f>IF(A2827="","",TEXT(A2827,"mmm-yyyy"))</f>
        <v/>
      </c>
    </row>
    <row r="2828">
      <c r="D2828">
        <f>IFERROR(XLOOKUP(C2828,'Vendor Master'!$A$6:$A$15,'Vendor Master'!$B$6:$B$15,""),"")</f>
        <v/>
      </c>
      <c r="J2828">
        <f>IF(A2828="","",TEXT(A2828,"mmm-yyyy"))</f>
        <v/>
      </c>
    </row>
    <row r="2829">
      <c r="D2829">
        <f>IFERROR(XLOOKUP(C2829,'Vendor Master'!$A$6:$A$15,'Vendor Master'!$B$6:$B$15,""),"")</f>
        <v/>
      </c>
      <c r="J2829">
        <f>IF(A2829="","",TEXT(A2829,"mmm-yyyy"))</f>
        <v/>
      </c>
    </row>
    <row r="2830">
      <c r="D2830">
        <f>IFERROR(XLOOKUP(C2830,'Vendor Master'!$A$6:$A$15,'Vendor Master'!$B$6:$B$15,""),"")</f>
        <v/>
      </c>
      <c r="J2830">
        <f>IF(A2830="","",TEXT(A2830,"mmm-yyyy"))</f>
        <v/>
      </c>
    </row>
    <row r="2831">
      <c r="D2831">
        <f>IFERROR(XLOOKUP(C2831,'Vendor Master'!$A$6:$A$15,'Vendor Master'!$B$6:$B$15,""),"")</f>
        <v/>
      </c>
      <c r="J2831">
        <f>IF(A2831="","",TEXT(A2831,"mmm-yyyy"))</f>
        <v/>
      </c>
    </row>
    <row r="2832">
      <c r="D2832">
        <f>IFERROR(XLOOKUP(C2832,'Vendor Master'!$A$6:$A$15,'Vendor Master'!$B$6:$B$15,""),"")</f>
        <v/>
      </c>
      <c r="J2832">
        <f>IF(A2832="","",TEXT(A2832,"mmm-yyyy"))</f>
        <v/>
      </c>
    </row>
    <row r="2833">
      <c r="D2833">
        <f>IFERROR(XLOOKUP(C2833,'Vendor Master'!$A$6:$A$15,'Vendor Master'!$B$6:$B$15,""),"")</f>
        <v/>
      </c>
      <c r="J2833">
        <f>IF(A2833="","",TEXT(A2833,"mmm-yyyy"))</f>
        <v/>
      </c>
    </row>
    <row r="2834">
      <c r="D2834">
        <f>IFERROR(XLOOKUP(C2834,'Vendor Master'!$A$6:$A$15,'Vendor Master'!$B$6:$B$15,""),"")</f>
        <v/>
      </c>
      <c r="J2834">
        <f>IF(A2834="","",TEXT(A2834,"mmm-yyyy"))</f>
        <v/>
      </c>
    </row>
    <row r="2835">
      <c r="D2835">
        <f>IFERROR(XLOOKUP(C2835,'Vendor Master'!$A$6:$A$15,'Vendor Master'!$B$6:$B$15,""),"")</f>
        <v/>
      </c>
      <c r="J2835">
        <f>IF(A2835="","",TEXT(A2835,"mmm-yyyy"))</f>
        <v/>
      </c>
    </row>
    <row r="2836">
      <c r="D2836">
        <f>IFERROR(XLOOKUP(C2836,'Vendor Master'!$A$6:$A$15,'Vendor Master'!$B$6:$B$15,""),"")</f>
        <v/>
      </c>
      <c r="J2836">
        <f>IF(A2836="","",TEXT(A2836,"mmm-yyyy"))</f>
        <v/>
      </c>
    </row>
    <row r="2837">
      <c r="D2837">
        <f>IFERROR(XLOOKUP(C2837,'Vendor Master'!$A$6:$A$15,'Vendor Master'!$B$6:$B$15,""),"")</f>
        <v/>
      </c>
      <c r="J2837">
        <f>IF(A2837="","",TEXT(A2837,"mmm-yyyy"))</f>
        <v/>
      </c>
    </row>
    <row r="2838">
      <c r="D2838">
        <f>IFERROR(XLOOKUP(C2838,'Vendor Master'!$A$6:$A$15,'Vendor Master'!$B$6:$B$15,""),"")</f>
        <v/>
      </c>
      <c r="J2838">
        <f>IF(A2838="","",TEXT(A2838,"mmm-yyyy"))</f>
        <v/>
      </c>
    </row>
    <row r="2839">
      <c r="D2839">
        <f>IFERROR(XLOOKUP(C2839,'Vendor Master'!$A$6:$A$15,'Vendor Master'!$B$6:$B$15,""),"")</f>
        <v/>
      </c>
      <c r="J2839">
        <f>IF(A2839="","",TEXT(A2839,"mmm-yyyy"))</f>
        <v/>
      </c>
    </row>
    <row r="2840">
      <c r="D2840">
        <f>IFERROR(XLOOKUP(C2840,'Vendor Master'!$A$6:$A$15,'Vendor Master'!$B$6:$B$15,""),"")</f>
        <v/>
      </c>
      <c r="J2840">
        <f>IF(A2840="","",TEXT(A2840,"mmm-yyyy"))</f>
        <v/>
      </c>
    </row>
    <row r="2841">
      <c r="D2841">
        <f>IFERROR(XLOOKUP(C2841,'Vendor Master'!$A$6:$A$15,'Vendor Master'!$B$6:$B$15,""),"")</f>
        <v/>
      </c>
      <c r="J2841">
        <f>IF(A2841="","",TEXT(A2841,"mmm-yyyy"))</f>
        <v/>
      </c>
    </row>
    <row r="2842">
      <c r="D2842">
        <f>IFERROR(XLOOKUP(C2842,'Vendor Master'!$A$6:$A$15,'Vendor Master'!$B$6:$B$15,""),"")</f>
        <v/>
      </c>
      <c r="J2842">
        <f>IF(A2842="","",TEXT(A2842,"mmm-yyyy"))</f>
        <v/>
      </c>
    </row>
    <row r="2843">
      <c r="D2843">
        <f>IFERROR(XLOOKUP(C2843,'Vendor Master'!$A$6:$A$15,'Vendor Master'!$B$6:$B$15,""),"")</f>
        <v/>
      </c>
      <c r="J2843">
        <f>IF(A2843="","",TEXT(A2843,"mmm-yyyy"))</f>
        <v/>
      </c>
    </row>
    <row r="2844">
      <c r="D2844">
        <f>IFERROR(XLOOKUP(C2844,'Vendor Master'!$A$6:$A$15,'Vendor Master'!$B$6:$B$15,""),"")</f>
        <v/>
      </c>
      <c r="J2844">
        <f>IF(A2844="","",TEXT(A2844,"mmm-yyyy"))</f>
        <v/>
      </c>
    </row>
    <row r="2845">
      <c r="D2845">
        <f>IFERROR(XLOOKUP(C2845,'Vendor Master'!$A$6:$A$15,'Vendor Master'!$B$6:$B$15,""),"")</f>
        <v/>
      </c>
      <c r="J2845">
        <f>IF(A2845="","",TEXT(A2845,"mmm-yyyy"))</f>
        <v/>
      </c>
    </row>
    <row r="2846">
      <c r="D2846">
        <f>IFERROR(XLOOKUP(C2846,'Vendor Master'!$A$6:$A$15,'Vendor Master'!$B$6:$B$15,""),"")</f>
        <v/>
      </c>
      <c r="J2846">
        <f>IF(A2846="","",TEXT(A2846,"mmm-yyyy"))</f>
        <v/>
      </c>
    </row>
    <row r="2847">
      <c r="D2847">
        <f>IFERROR(XLOOKUP(C2847,'Vendor Master'!$A$6:$A$15,'Vendor Master'!$B$6:$B$15,""),"")</f>
        <v/>
      </c>
      <c r="J2847">
        <f>IF(A2847="","",TEXT(A2847,"mmm-yyyy"))</f>
        <v/>
      </c>
    </row>
    <row r="2848">
      <c r="D2848">
        <f>IFERROR(XLOOKUP(C2848,'Vendor Master'!$A$6:$A$15,'Vendor Master'!$B$6:$B$15,""),"")</f>
        <v/>
      </c>
      <c r="J2848">
        <f>IF(A2848="","",TEXT(A2848,"mmm-yyyy"))</f>
        <v/>
      </c>
    </row>
    <row r="2849">
      <c r="D2849">
        <f>IFERROR(XLOOKUP(C2849,'Vendor Master'!$A$6:$A$15,'Vendor Master'!$B$6:$B$15,""),"")</f>
        <v/>
      </c>
      <c r="J2849">
        <f>IF(A2849="","",TEXT(A2849,"mmm-yyyy"))</f>
        <v/>
      </c>
    </row>
    <row r="2850">
      <c r="D2850">
        <f>IFERROR(XLOOKUP(C2850,'Vendor Master'!$A$6:$A$15,'Vendor Master'!$B$6:$B$15,""),"")</f>
        <v/>
      </c>
      <c r="J2850">
        <f>IF(A2850="","",TEXT(A2850,"mmm-yyyy"))</f>
        <v/>
      </c>
    </row>
    <row r="2851">
      <c r="D2851">
        <f>IFERROR(XLOOKUP(C2851,'Vendor Master'!$A$6:$A$15,'Vendor Master'!$B$6:$B$15,""),"")</f>
        <v/>
      </c>
      <c r="J2851">
        <f>IF(A2851="","",TEXT(A2851,"mmm-yyyy"))</f>
        <v/>
      </c>
    </row>
    <row r="2852">
      <c r="D2852">
        <f>IFERROR(XLOOKUP(C2852,'Vendor Master'!$A$6:$A$15,'Vendor Master'!$B$6:$B$15,""),"")</f>
        <v/>
      </c>
      <c r="J2852">
        <f>IF(A2852="","",TEXT(A2852,"mmm-yyyy"))</f>
        <v/>
      </c>
    </row>
    <row r="2853">
      <c r="D2853">
        <f>IFERROR(XLOOKUP(C2853,'Vendor Master'!$A$6:$A$15,'Vendor Master'!$B$6:$B$15,""),"")</f>
        <v/>
      </c>
      <c r="J2853">
        <f>IF(A2853="","",TEXT(A2853,"mmm-yyyy"))</f>
        <v/>
      </c>
    </row>
    <row r="2854">
      <c r="D2854">
        <f>IFERROR(XLOOKUP(C2854,'Vendor Master'!$A$6:$A$15,'Vendor Master'!$B$6:$B$15,""),"")</f>
        <v/>
      </c>
      <c r="J2854">
        <f>IF(A2854="","",TEXT(A2854,"mmm-yyyy"))</f>
        <v/>
      </c>
    </row>
    <row r="2855">
      <c r="D2855">
        <f>IFERROR(XLOOKUP(C2855,'Vendor Master'!$A$6:$A$15,'Vendor Master'!$B$6:$B$15,""),"")</f>
        <v/>
      </c>
      <c r="J2855">
        <f>IF(A2855="","",TEXT(A2855,"mmm-yyyy"))</f>
        <v/>
      </c>
    </row>
    <row r="2856">
      <c r="D2856">
        <f>IFERROR(XLOOKUP(C2856,'Vendor Master'!$A$6:$A$15,'Vendor Master'!$B$6:$B$15,""),"")</f>
        <v/>
      </c>
      <c r="J2856">
        <f>IF(A2856="","",TEXT(A2856,"mmm-yyyy"))</f>
        <v/>
      </c>
    </row>
    <row r="2857">
      <c r="D2857">
        <f>IFERROR(XLOOKUP(C2857,'Vendor Master'!$A$6:$A$15,'Vendor Master'!$B$6:$B$15,""),"")</f>
        <v/>
      </c>
      <c r="J2857">
        <f>IF(A2857="","",TEXT(A2857,"mmm-yyyy"))</f>
        <v/>
      </c>
    </row>
    <row r="2858">
      <c r="D2858">
        <f>IFERROR(XLOOKUP(C2858,'Vendor Master'!$A$6:$A$15,'Vendor Master'!$B$6:$B$15,""),"")</f>
        <v/>
      </c>
      <c r="J2858">
        <f>IF(A2858="","",TEXT(A2858,"mmm-yyyy"))</f>
        <v/>
      </c>
    </row>
    <row r="2859">
      <c r="D2859">
        <f>IFERROR(XLOOKUP(C2859,'Vendor Master'!$A$6:$A$15,'Vendor Master'!$B$6:$B$15,""),"")</f>
        <v/>
      </c>
      <c r="J2859">
        <f>IF(A2859="","",TEXT(A2859,"mmm-yyyy"))</f>
        <v/>
      </c>
    </row>
    <row r="2860">
      <c r="D2860">
        <f>IFERROR(XLOOKUP(C2860,'Vendor Master'!$A$6:$A$15,'Vendor Master'!$B$6:$B$15,""),"")</f>
        <v/>
      </c>
      <c r="J2860">
        <f>IF(A2860="","",TEXT(A2860,"mmm-yyyy"))</f>
        <v/>
      </c>
    </row>
    <row r="2861">
      <c r="D2861">
        <f>IFERROR(XLOOKUP(C2861,'Vendor Master'!$A$6:$A$15,'Vendor Master'!$B$6:$B$15,""),"")</f>
        <v/>
      </c>
      <c r="J2861">
        <f>IF(A2861="","",TEXT(A2861,"mmm-yyyy"))</f>
        <v/>
      </c>
    </row>
    <row r="2862">
      <c r="D2862">
        <f>IFERROR(XLOOKUP(C2862,'Vendor Master'!$A$6:$A$15,'Vendor Master'!$B$6:$B$15,""),"")</f>
        <v/>
      </c>
      <c r="J2862">
        <f>IF(A2862="","",TEXT(A2862,"mmm-yyyy"))</f>
        <v/>
      </c>
    </row>
    <row r="2863">
      <c r="D2863">
        <f>IFERROR(XLOOKUP(C2863,'Vendor Master'!$A$6:$A$15,'Vendor Master'!$B$6:$B$15,""),"")</f>
        <v/>
      </c>
      <c r="J2863">
        <f>IF(A2863="","",TEXT(A2863,"mmm-yyyy"))</f>
        <v/>
      </c>
    </row>
    <row r="2864">
      <c r="D2864">
        <f>IFERROR(XLOOKUP(C2864,'Vendor Master'!$A$6:$A$15,'Vendor Master'!$B$6:$B$15,""),"")</f>
        <v/>
      </c>
      <c r="J2864">
        <f>IF(A2864="","",TEXT(A2864,"mmm-yyyy"))</f>
        <v/>
      </c>
    </row>
    <row r="2865">
      <c r="D2865">
        <f>IFERROR(XLOOKUP(C2865,'Vendor Master'!$A$6:$A$15,'Vendor Master'!$B$6:$B$15,""),"")</f>
        <v/>
      </c>
      <c r="J2865">
        <f>IF(A2865="","",TEXT(A2865,"mmm-yyyy"))</f>
        <v/>
      </c>
    </row>
    <row r="2866">
      <c r="D2866">
        <f>IFERROR(XLOOKUP(C2866,'Vendor Master'!$A$6:$A$15,'Vendor Master'!$B$6:$B$15,""),"")</f>
        <v/>
      </c>
      <c r="J2866">
        <f>IF(A2866="","",TEXT(A2866,"mmm-yyyy"))</f>
        <v/>
      </c>
    </row>
    <row r="2867">
      <c r="D2867">
        <f>IFERROR(XLOOKUP(C2867,'Vendor Master'!$A$6:$A$15,'Vendor Master'!$B$6:$B$15,""),"")</f>
        <v/>
      </c>
      <c r="J2867">
        <f>IF(A2867="","",TEXT(A2867,"mmm-yyyy"))</f>
        <v/>
      </c>
    </row>
    <row r="2868">
      <c r="D2868">
        <f>IFERROR(XLOOKUP(C2868,'Vendor Master'!$A$6:$A$15,'Vendor Master'!$B$6:$B$15,""),"")</f>
        <v/>
      </c>
      <c r="J2868">
        <f>IF(A2868="","",TEXT(A2868,"mmm-yyyy"))</f>
        <v/>
      </c>
    </row>
    <row r="2869">
      <c r="D2869">
        <f>IFERROR(XLOOKUP(C2869,'Vendor Master'!$A$6:$A$15,'Vendor Master'!$B$6:$B$15,""),"")</f>
        <v/>
      </c>
      <c r="J2869">
        <f>IF(A2869="","",TEXT(A2869,"mmm-yyyy"))</f>
        <v/>
      </c>
    </row>
    <row r="2870">
      <c r="D2870">
        <f>IFERROR(XLOOKUP(C2870,'Vendor Master'!$A$6:$A$15,'Vendor Master'!$B$6:$B$15,""),"")</f>
        <v/>
      </c>
      <c r="J2870">
        <f>IF(A2870="","",TEXT(A2870,"mmm-yyyy"))</f>
        <v/>
      </c>
    </row>
    <row r="2871">
      <c r="D2871">
        <f>IFERROR(XLOOKUP(C2871,'Vendor Master'!$A$6:$A$15,'Vendor Master'!$B$6:$B$15,""),"")</f>
        <v/>
      </c>
      <c r="J2871">
        <f>IF(A2871="","",TEXT(A2871,"mmm-yyyy"))</f>
        <v/>
      </c>
    </row>
    <row r="2872">
      <c r="D2872">
        <f>IFERROR(XLOOKUP(C2872,'Vendor Master'!$A$6:$A$15,'Vendor Master'!$B$6:$B$15,""),"")</f>
        <v/>
      </c>
      <c r="J2872">
        <f>IF(A2872="","",TEXT(A2872,"mmm-yyyy"))</f>
        <v/>
      </c>
    </row>
    <row r="2873">
      <c r="D2873">
        <f>IFERROR(XLOOKUP(C2873,'Vendor Master'!$A$6:$A$15,'Vendor Master'!$B$6:$B$15,""),"")</f>
        <v/>
      </c>
      <c r="J2873">
        <f>IF(A2873="","",TEXT(A2873,"mmm-yyyy"))</f>
        <v/>
      </c>
    </row>
    <row r="2874">
      <c r="D2874">
        <f>IFERROR(XLOOKUP(C2874,'Vendor Master'!$A$6:$A$15,'Vendor Master'!$B$6:$B$15,""),"")</f>
        <v/>
      </c>
      <c r="J2874">
        <f>IF(A2874="","",TEXT(A2874,"mmm-yyyy"))</f>
        <v/>
      </c>
    </row>
    <row r="2875">
      <c r="D2875">
        <f>IFERROR(XLOOKUP(C2875,'Vendor Master'!$A$6:$A$15,'Vendor Master'!$B$6:$B$15,""),"")</f>
        <v/>
      </c>
      <c r="J2875">
        <f>IF(A2875="","",TEXT(A2875,"mmm-yyyy"))</f>
        <v/>
      </c>
    </row>
    <row r="2876">
      <c r="D2876">
        <f>IFERROR(XLOOKUP(C2876,'Vendor Master'!$A$6:$A$15,'Vendor Master'!$B$6:$B$15,""),"")</f>
        <v/>
      </c>
      <c r="J2876">
        <f>IF(A2876="","",TEXT(A2876,"mmm-yyyy"))</f>
        <v/>
      </c>
    </row>
    <row r="2877">
      <c r="D2877">
        <f>IFERROR(XLOOKUP(C2877,'Vendor Master'!$A$6:$A$15,'Vendor Master'!$B$6:$B$15,""),"")</f>
        <v/>
      </c>
      <c r="J2877">
        <f>IF(A2877="","",TEXT(A2877,"mmm-yyyy"))</f>
        <v/>
      </c>
    </row>
    <row r="2878">
      <c r="D2878">
        <f>IFERROR(XLOOKUP(C2878,'Vendor Master'!$A$6:$A$15,'Vendor Master'!$B$6:$B$15,""),"")</f>
        <v/>
      </c>
      <c r="J2878">
        <f>IF(A2878="","",TEXT(A2878,"mmm-yyyy"))</f>
        <v/>
      </c>
    </row>
    <row r="2879">
      <c r="D2879">
        <f>IFERROR(XLOOKUP(C2879,'Vendor Master'!$A$6:$A$15,'Vendor Master'!$B$6:$B$15,""),"")</f>
        <v/>
      </c>
      <c r="J2879">
        <f>IF(A2879="","",TEXT(A2879,"mmm-yyyy"))</f>
        <v/>
      </c>
    </row>
    <row r="2880">
      <c r="D2880">
        <f>IFERROR(XLOOKUP(C2880,'Vendor Master'!$A$6:$A$15,'Vendor Master'!$B$6:$B$15,""),"")</f>
        <v/>
      </c>
      <c r="J2880">
        <f>IF(A2880="","",TEXT(A2880,"mmm-yyyy"))</f>
        <v/>
      </c>
    </row>
    <row r="2881">
      <c r="D2881">
        <f>IFERROR(XLOOKUP(C2881,'Vendor Master'!$A$6:$A$15,'Vendor Master'!$B$6:$B$15,""),"")</f>
        <v/>
      </c>
      <c r="J2881">
        <f>IF(A2881="","",TEXT(A2881,"mmm-yyyy"))</f>
        <v/>
      </c>
    </row>
    <row r="2882">
      <c r="D2882">
        <f>IFERROR(XLOOKUP(C2882,'Vendor Master'!$A$6:$A$15,'Vendor Master'!$B$6:$B$15,""),"")</f>
        <v/>
      </c>
      <c r="J2882">
        <f>IF(A2882="","",TEXT(A2882,"mmm-yyyy"))</f>
        <v/>
      </c>
    </row>
    <row r="2883">
      <c r="D2883">
        <f>IFERROR(XLOOKUP(C2883,'Vendor Master'!$A$6:$A$15,'Vendor Master'!$B$6:$B$15,""),"")</f>
        <v/>
      </c>
      <c r="J2883">
        <f>IF(A2883="","",TEXT(A2883,"mmm-yyyy"))</f>
        <v/>
      </c>
    </row>
    <row r="2884">
      <c r="D2884">
        <f>IFERROR(XLOOKUP(C2884,'Vendor Master'!$A$6:$A$15,'Vendor Master'!$B$6:$B$15,""),"")</f>
        <v/>
      </c>
      <c r="J2884">
        <f>IF(A2884="","",TEXT(A2884,"mmm-yyyy"))</f>
        <v/>
      </c>
    </row>
    <row r="2885">
      <c r="D2885">
        <f>IFERROR(XLOOKUP(C2885,'Vendor Master'!$A$6:$A$15,'Vendor Master'!$B$6:$B$15,""),"")</f>
        <v/>
      </c>
      <c r="J2885">
        <f>IF(A2885="","",TEXT(A2885,"mmm-yyyy"))</f>
        <v/>
      </c>
    </row>
    <row r="2886">
      <c r="D2886">
        <f>IFERROR(XLOOKUP(C2886,'Vendor Master'!$A$6:$A$15,'Vendor Master'!$B$6:$B$15,""),"")</f>
        <v/>
      </c>
      <c r="J2886">
        <f>IF(A2886="","",TEXT(A2886,"mmm-yyyy"))</f>
        <v/>
      </c>
    </row>
    <row r="2887">
      <c r="D2887">
        <f>IFERROR(XLOOKUP(C2887,'Vendor Master'!$A$6:$A$15,'Vendor Master'!$B$6:$B$15,""),"")</f>
        <v/>
      </c>
      <c r="J2887">
        <f>IF(A2887="","",TEXT(A2887,"mmm-yyyy"))</f>
        <v/>
      </c>
    </row>
    <row r="2888">
      <c r="D2888">
        <f>IFERROR(XLOOKUP(C2888,'Vendor Master'!$A$6:$A$15,'Vendor Master'!$B$6:$B$15,""),"")</f>
        <v/>
      </c>
      <c r="J2888">
        <f>IF(A2888="","",TEXT(A2888,"mmm-yyyy"))</f>
        <v/>
      </c>
    </row>
    <row r="2889">
      <c r="D2889">
        <f>IFERROR(XLOOKUP(C2889,'Vendor Master'!$A$6:$A$15,'Vendor Master'!$B$6:$B$15,""),"")</f>
        <v/>
      </c>
      <c r="J2889">
        <f>IF(A2889="","",TEXT(A2889,"mmm-yyyy"))</f>
        <v/>
      </c>
    </row>
    <row r="2890">
      <c r="D2890">
        <f>IFERROR(XLOOKUP(C2890,'Vendor Master'!$A$6:$A$15,'Vendor Master'!$B$6:$B$15,""),"")</f>
        <v/>
      </c>
      <c r="J2890">
        <f>IF(A2890="","",TEXT(A2890,"mmm-yyyy"))</f>
        <v/>
      </c>
    </row>
    <row r="2891">
      <c r="D2891">
        <f>IFERROR(XLOOKUP(C2891,'Vendor Master'!$A$6:$A$15,'Vendor Master'!$B$6:$B$15,""),"")</f>
        <v/>
      </c>
      <c r="J2891">
        <f>IF(A2891="","",TEXT(A2891,"mmm-yyyy"))</f>
        <v/>
      </c>
    </row>
    <row r="2892">
      <c r="D2892">
        <f>IFERROR(XLOOKUP(C2892,'Vendor Master'!$A$6:$A$15,'Vendor Master'!$B$6:$B$15,""),"")</f>
        <v/>
      </c>
      <c r="J2892">
        <f>IF(A2892="","",TEXT(A2892,"mmm-yyyy"))</f>
        <v/>
      </c>
    </row>
    <row r="2893">
      <c r="D2893">
        <f>IFERROR(XLOOKUP(C2893,'Vendor Master'!$A$6:$A$15,'Vendor Master'!$B$6:$B$15,""),"")</f>
        <v/>
      </c>
      <c r="J2893">
        <f>IF(A2893="","",TEXT(A2893,"mmm-yyyy"))</f>
        <v/>
      </c>
    </row>
    <row r="2894">
      <c r="D2894">
        <f>IFERROR(XLOOKUP(C2894,'Vendor Master'!$A$6:$A$15,'Vendor Master'!$B$6:$B$15,""),"")</f>
        <v/>
      </c>
      <c r="J2894">
        <f>IF(A2894="","",TEXT(A2894,"mmm-yyyy"))</f>
        <v/>
      </c>
    </row>
    <row r="2895">
      <c r="D2895">
        <f>IFERROR(XLOOKUP(C2895,'Vendor Master'!$A$6:$A$15,'Vendor Master'!$B$6:$B$15,""),"")</f>
        <v/>
      </c>
      <c r="J2895">
        <f>IF(A2895="","",TEXT(A2895,"mmm-yyyy"))</f>
        <v/>
      </c>
    </row>
    <row r="2896">
      <c r="D2896">
        <f>IFERROR(XLOOKUP(C2896,'Vendor Master'!$A$6:$A$15,'Vendor Master'!$B$6:$B$15,""),"")</f>
        <v/>
      </c>
      <c r="J2896">
        <f>IF(A2896="","",TEXT(A2896,"mmm-yyyy"))</f>
        <v/>
      </c>
    </row>
    <row r="2897">
      <c r="D2897">
        <f>IFERROR(XLOOKUP(C2897,'Vendor Master'!$A$6:$A$15,'Vendor Master'!$B$6:$B$15,""),"")</f>
        <v/>
      </c>
      <c r="J2897">
        <f>IF(A2897="","",TEXT(A2897,"mmm-yyyy"))</f>
        <v/>
      </c>
    </row>
    <row r="2898">
      <c r="D2898">
        <f>IFERROR(XLOOKUP(C2898,'Vendor Master'!$A$6:$A$15,'Vendor Master'!$B$6:$B$15,""),"")</f>
        <v/>
      </c>
      <c r="J2898">
        <f>IF(A2898="","",TEXT(A2898,"mmm-yyyy"))</f>
        <v/>
      </c>
    </row>
    <row r="2899">
      <c r="D2899">
        <f>IFERROR(XLOOKUP(C2899,'Vendor Master'!$A$6:$A$15,'Vendor Master'!$B$6:$B$15,""),"")</f>
        <v/>
      </c>
      <c r="J2899">
        <f>IF(A2899="","",TEXT(A2899,"mmm-yyyy"))</f>
        <v/>
      </c>
    </row>
    <row r="2900">
      <c r="D2900">
        <f>IFERROR(XLOOKUP(C2900,'Vendor Master'!$A$6:$A$15,'Vendor Master'!$B$6:$B$15,""),"")</f>
        <v/>
      </c>
      <c r="J2900">
        <f>IF(A2900="","",TEXT(A2900,"mmm-yyyy"))</f>
        <v/>
      </c>
    </row>
    <row r="2901">
      <c r="D2901">
        <f>IFERROR(XLOOKUP(C2901,'Vendor Master'!$A$6:$A$15,'Vendor Master'!$B$6:$B$15,""),"")</f>
        <v/>
      </c>
      <c r="J2901">
        <f>IF(A2901="","",TEXT(A2901,"mmm-yyyy"))</f>
        <v/>
      </c>
    </row>
    <row r="2902">
      <c r="D2902">
        <f>IFERROR(XLOOKUP(C2902,'Vendor Master'!$A$6:$A$15,'Vendor Master'!$B$6:$B$15,""),"")</f>
        <v/>
      </c>
      <c r="J2902">
        <f>IF(A2902="","",TEXT(A2902,"mmm-yyyy"))</f>
        <v/>
      </c>
    </row>
    <row r="2903">
      <c r="D2903">
        <f>IFERROR(XLOOKUP(C2903,'Vendor Master'!$A$6:$A$15,'Vendor Master'!$B$6:$B$15,""),"")</f>
        <v/>
      </c>
      <c r="J2903">
        <f>IF(A2903="","",TEXT(A2903,"mmm-yyyy"))</f>
        <v/>
      </c>
    </row>
    <row r="2904">
      <c r="D2904">
        <f>IFERROR(XLOOKUP(C2904,'Vendor Master'!$A$6:$A$15,'Vendor Master'!$B$6:$B$15,""),"")</f>
        <v/>
      </c>
      <c r="J2904">
        <f>IF(A2904="","",TEXT(A2904,"mmm-yyyy"))</f>
        <v/>
      </c>
    </row>
    <row r="2905">
      <c r="D2905">
        <f>IFERROR(XLOOKUP(C2905,'Vendor Master'!$A$6:$A$15,'Vendor Master'!$B$6:$B$15,""),"")</f>
        <v/>
      </c>
      <c r="J2905">
        <f>IF(A2905="","",TEXT(A2905,"mmm-yyyy"))</f>
        <v/>
      </c>
    </row>
    <row r="2906">
      <c r="D2906">
        <f>IFERROR(XLOOKUP(C2906,'Vendor Master'!$A$6:$A$15,'Vendor Master'!$B$6:$B$15,""),"")</f>
        <v/>
      </c>
      <c r="J2906">
        <f>IF(A2906="","",TEXT(A2906,"mmm-yyyy"))</f>
        <v/>
      </c>
    </row>
    <row r="2907">
      <c r="D2907">
        <f>IFERROR(XLOOKUP(C2907,'Vendor Master'!$A$6:$A$15,'Vendor Master'!$B$6:$B$15,""),"")</f>
        <v/>
      </c>
      <c r="J2907">
        <f>IF(A2907="","",TEXT(A2907,"mmm-yyyy"))</f>
        <v/>
      </c>
    </row>
    <row r="2908">
      <c r="D2908">
        <f>IFERROR(XLOOKUP(C2908,'Vendor Master'!$A$6:$A$15,'Vendor Master'!$B$6:$B$15,""),"")</f>
        <v/>
      </c>
      <c r="J2908">
        <f>IF(A2908="","",TEXT(A2908,"mmm-yyyy"))</f>
        <v/>
      </c>
    </row>
    <row r="2909">
      <c r="D2909">
        <f>IFERROR(XLOOKUP(C2909,'Vendor Master'!$A$6:$A$15,'Vendor Master'!$B$6:$B$15,""),"")</f>
        <v/>
      </c>
      <c r="J2909">
        <f>IF(A2909="","",TEXT(A2909,"mmm-yyyy"))</f>
        <v/>
      </c>
    </row>
    <row r="2910">
      <c r="D2910">
        <f>IFERROR(XLOOKUP(C2910,'Vendor Master'!$A$6:$A$15,'Vendor Master'!$B$6:$B$15,""),"")</f>
        <v/>
      </c>
      <c r="J2910">
        <f>IF(A2910="","",TEXT(A2910,"mmm-yyyy"))</f>
        <v/>
      </c>
    </row>
    <row r="2911">
      <c r="D2911">
        <f>IFERROR(XLOOKUP(C2911,'Vendor Master'!$A$6:$A$15,'Vendor Master'!$B$6:$B$15,""),"")</f>
        <v/>
      </c>
      <c r="J2911">
        <f>IF(A2911="","",TEXT(A2911,"mmm-yyyy"))</f>
        <v/>
      </c>
    </row>
    <row r="2912">
      <c r="D2912">
        <f>IFERROR(XLOOKUP(C2912,'Vendor Master'!$A$6:$A$15,'Vendor Master'!$B$6:$B$15,""),"")</f>
        <v/>
      </c>
      <c r="J2912">
        <f>IF(A2912="","",TEXT(A2912,"mmm-yyyy"))</f>
        <v/>
      </c>
    </row>
    <row r="2913">
      <c r="D2913">
        <f>IFERROR(XLOOKUP(C2913,'Vendor Master'!$A$6:$A$15,'Vendor Master'!$B$6:$B$15,""),"")</f>
        <v/>
      </c>
      <c r="J2913">
        <f>IF(A2913="","",TEXT(A2913,"mmm-yyyy"))</f>
        <v/>
      </c>
    </row>
    <row r="2914">
      <c r="D2914">
        <f>IFERROR(XLOOKUP(C2914,'Vendor Master'!$A$6:$A$15,'Vendor Master'!$B$6:$B$15,""),"")</f>
        <v/>
      </c>
      <c r="J2914">
        <f>IF(A2914="","",TEXT(A2914,"mmm-yyyy"))</f>
        <v/>
      </c>
    </row>
    <row r="2915">
      <c r="D2915">
        <f>IFERROR(XLOOKUP(C2915,'Vendor Master'!$A$6:$A$15,'Vendor Master'!$B$6:$B$15,""),"")</f>
        <v/>
      </c>
      <c r="J2915">
        <f>IF(A2915="","",TEXT(A2915,"mmm-yyyy"))</f>
        <v/>
      </c>
    </row>
    <row r="2916">
      <c r="D2916">
        <f>IFERROR(XLOOKUP(C2916,'Vendor Master'!$A$6:$A$15,'Vendor Master'!$B$6:$B$15,""),"")</f>
        <v/>
      </c>
      <c r="J2916">
        <f>IF(A2916="","",TEXT(A2916,"mmm-yyyy"))</f>
        <v/>
      </c>
    </row>
    <row r="2917">
      <c r="D2917">
        <f>IFERROR(XLOOKUP(C2917,'Vendor Master'!$A$6:$A$15,'Vendor Master'!$B$6:$B$15,""),"")</f>
        <v/>
      </c>
      <c r="J2917">
        <f>IF(A2917="","",TEXT(A2917,"mmm-yyyy"))</f>
        <v/>
      </c>
    </row>
    <row r="2918">
      <c r="D2918">
        <f>IFERROR(XLOOKUP(C2918,'Vendor Master'!$A$6:$A$15,'Vendor Master'!$B$6:$B$15,""),"")</f>
        <v/>
      </c>
      <c r="J2918">
        <f>IF(A2918="","",TEXT(A2918,"mmm-yyyy"))</f>
        <v/>
      </c>
    </row>
    <row r="2919">
      <c r="D2919">
        <f>IFERROR(XLOOKUP(C2919,'Vendor Master'!$A$6:$A$15,'Vendor Master'!$B$6:$B$15,""),"")</f>
        <v/>
      </c>
      <c r="J2919">
        <f>IF(A2919="","",TEXT(A2919,"mmm-yyyy"))</f>
        <v/>
      </c>
    </row>
    <row r="2920">
      <c r="D2920">
        <f>IFERROR(XLOOKUP(C2920,'Vendor Master'!$A$6:$A$15,'Vendor Master'!$B$6:$B$15,""),"")</f>
        <v/>
      </c>
      <c r="J2920">
        <f>IF(A2920="","",TEXT(A2920,"mmm-yyyy"))</f>
        <v/>
      </c>
    </row>
    <row r="2921">
      <c r="D2921">
        <f>IFERROR(XLOOKUP(C2921,'Vendor Master'!$A$6:$A$15,'Vendor Master'!$B$6:$B$15,""),"")</f>
        <v/>
      </c>
      <c r="J2921">
        <f>IF(A2921="","",TEXT(A2921,"mmm-yyyy"))</f>
        <v/>
      </c>
    </row>
    <row r="2922">
      <c r="D2922">
        <f>IFERROR(XLOOKUP(C2922,'Vendor Master'!$A$6:$A$15,'Vendor Master'!$B$6:$B$15,""),"")</f>
        <v/>
      </c>
      <c r="J2922">
        <f>IF(A2922="","",TEXT(A2922,"mmm-yyyy"))</f>
        <v/>
      </c>
    </row>
    <row r="2923">
      <c r="D2923">
        <f>IFERROR(XLOOKUP(C2923,'Vendor Master'!$A$6:$A$15,'Vendor Master'!$B$6:$B$15,""),"")</f>
        <v/>
      </c>
      <c r="J2923">
        <f>IF(A2923="","",TEXT(A2923,"mmm-yyyy"))</f>
        <v/>
      </c>
    </row>
    <row r="2924">
      <c r="D2924">
        <f>IFERROR(XLOOKUP(C2924,'Vendor Master'!$A$6:$A$15,'Vendor Master'!$B$6:$B$15,""),"")</f>
        <v/>
      </c>
      <c r="J2924">
        <f>IF(A2924="","",TEXT(A2924,"mmm-yyyy"))</f>
        <v/>
      </c>
    </row>
    <row r="2925">
      <c r="D2925">
        <f>IFERROR(XLOOKUP(C2925,'Vendor Master'!$A$6:$A$15,'Vendor Master'!$B$6:$B$15,""),"")</f>
        <v/>
      </c>
      <c r="J2925">
        <f>IF(A2925="","",TEXT(A2925,"mmm-yyyy"))</f>
        <v/>
      </c>
    </row>
    <row r="2926">
      <c r="D2926">
        <f>IFERROR(XLOOKUP(C2926,'Vendor Master'!$A$6:$A$15,'Vendor Master'!$B$6:$B$15,""),"")</f>
        <v/>
      </c>
      <c r="J2926">
        <f>IF(A2926="","",TEXT(A2926,"mmm-yyyy"))</f>
        <v/>
      </c>
    </row>
    <row r="2927">
      <c r="D2927">
        <f>IFERROR(XLOOKUP(C2927,'Vendor Master'!$A$6:$A$15,'Vendor Master'!$B$6:$B$15,""),"")</f>
        <v/>
      </c>
      <c r="J2927">
        <f>IF(A2927="","",TEXT(A2927,"mmm-yyyy"))</f>
        <v/>
      </c>
    </row>
    <row r="2928">
      <c r="D2928">
        <f>IFERROR(XLOOKUP(C2928,'Vendor Master'!$A$6:$A$15,'Vendor Master'!$B$6:$B$15,""),"")</f>
        <v/>
      </c>
      <c r="J2928">
        <f>IF(A2928="","",TEXT(A2928,"mmm-yyyy"))</f>
        <v/>
      </c>
    </row>
    <row r="2929">
      <c r="D2929">
        <f>IFERROR(XLOOKUP(C2929,'Vendor Master'!$A$6:$A$15,'Vendor Master'!$B$6:$B$15,""),"")</f>
        <v/>
      </c>
      <c r="J2929">
        <f>IF(A2929="","",TEXT(A2929,"mmm-yyyy"))</f>
        <v/>
      </c>
    </row>
    <row r="2930">
      <c r="D2930">
        <f>IFERROR(XLOOKUP(C2930,'Vendor Master'!$A$6:$A$15,'Vendor Master'!$B$6:$B$15,""),"")</f>
        <v/>
      </c>
      <c r="J2930">
        <f>IF(A2930="","",TEXT(A2930,"mmm-yyyy"))</f>
        <v/>
      </c>
    </row>
    <row r="2931">
      <c r="D2931">
        <f>IFERROR(XLOOKUP(C2931,'Vendor Master'!$A$6:$A$15,'Vendor Master'!$B$6:$B$15,""),"")</f>
        <v/>
      </c>
      <c r="J2931">
        <f>IF(A2931="","",TEXT(A2931,"mmm-yyyy"))</f>
        <v/>
      </c>
    </row>
    <row r="2932">
      <c r="D2932">
        <f>IFERROR(XLOOKUP(C2932,'Vendor Master'!$A$6:$A$15,'Vendor Master'!$B$6:$B$15,""),"")</f>
        <v/>
      </c>
      <c r="J2932">
        <f>IF(A2932="","",TEXT(A2932,"mmm-yyyy"))</f>
        <v/>
      </c>
    </row>
    <row r="2933">
      <c r="D2933">
        <f>IFERROR(XLOOKUP(C2933,'Vendor Master'!$A$6:$A$15,'Vendor Master'!$B$6:$B$15,""),"")</f>
        <v/>
      </c>
      <c r="J2933">
        <f>IF(A2933="","",TEXT(A2933,"mmm-yyyy"))</f>
        <v/>
      </c>
    </row>
    <row r="2934">
      <c r="D2934">
        <f>IFERROR(XLOOKUP(C2934,'Vendor Master'!$A$6:$A$15,'Vendor Master'!$B$6:$B$15,""),"")</f>
        <v/>
      </c>
      <c r="J2934">
        <f>IF(A2934="","",TEXT(A2934,"mmm-yyyy"))</f>
        <v/>
      </c>
    </row>
    <row r="2935">
      <c r="D2935">
        <f>IFERROR(XLOOKUP(C2935,'Vendor Master'!$A$6:$A$15,'Vendor Master'!$B$6:$B$15,""),"")</f>
        <v/>
      </c>
      <c r="J2935">
        <f>IF(A2935="","",TEXT(A2935,"mmm-yyyy"))</f>
        <v/>
      </c>
    </row>
    <row r="2936">
      <c r="D2936">
        <f>IFERROR(XLOOKUP(C2936,'Vendor Master'!$A$6:$A$15,'Vendor Master'!$B$6:$B$15,""),"")</f>
        <v/>
      </c>
      <c r="J2936">
        <f>IF(A2936="","",TEXT(A2936,"mmm-yyyy"))</f>
        <v/>
      </c>
    </row>
    <row r="2937">
      <c r="D2937">
        <f>IFERROR(XLOOKUP(C2937,'Vendor Master'!$A$6:$A$15,'Vendor Master'!$B$6:$B$15,""),"")</f>
        <v/>
      </c>
      <c r="J2937">
        <f>IF(A2937="","",TEXT(A2937,"mmm-yyyy"))</f>
        <v/>
      </c>
    </row>
    <row r="2938">
      <c r="D2938">
        <f>IFERROR(XLOOKUP(C2938,'Vendor Master'!$A$6:$A$15,'Vendor Master'!$B$6:$B$15,""),"")</f>
        <v/>
      </c>
      <c r="J2938">
        <f>IF(A2938="","",TEXT(A2938,"mmm-yyyy"))</f>
        <v/>
      </c>
    </row>
    <row r="2939">
      <c r="D2939">
        <f>IFERROR(XLOOKUP(C2939,'Vendor Master'!$A$6:$A$15,'Vendor Master'!$B$6:$B$15,""),"")</f>
        <v/>
      </c>
      <c r="J2939">
        <f>IF(A2939="","",TEXT(A2939,"mmm-yyyy"))</f>
        <v/>
      </c>
    </row>
    <row r="2940">
      <c r="D2940">
        <f>IFERROR(XLOOKUP(C2940,'Vendor Master'!$A$6:$A$15,'Vendor Master'!$B$6:$B$15,""),"")</f>
        <v/>
      </c>
      <c r="J2940">
        <f>IF(A2940="","",TEXT(A2940,"mmm-yyyy"))</f>
        <v/>
      </c>
    </row>
    <row r="2941">
      <c r="D2941">
        <f>IFERROR(XLOOKUP(C2941,'Vendor Master'!$A$6:$A$15,'Vendor Master'!$B$6:$B$15,""),"")</f>
        <v/>
      </c>
      <c r="J2941">
        <f>IF(A2941="","",TEXT(A2941,"mmm-yyyy"))</f>
        <v/>
      </c>
    </row>
    <row r="2942">
      <c r="D2942">
        <f>IFERROR(XLOOKUP(C2942,'Vendor Master'!$A$6:$A$15,'Vendor Master'!$B$6:$B$15,""),"")</f>
        <v/>
      </c>
      <c r="J2942">
        <f>IF(A2942="","",TEXT(A2942,"mmm-yyyy"))</f>
        <v/>
      </c>
    </row>
    <row r="2943">
      <c r="D2943">
        <f>IFERROR(XLOOKUP(C2943,'Vendor Master'!$A$6:$A$15,'Vendor Master'!$B$6:$B$15,""),"")</f>
        <v/>
      </c>
      <c r="J2943">
        <f>IF(A2943="","",TEXT(A2943,"mmm-yyyy"))</f>
        <v/>
      </c>
    </row>
    <row r="2944">
      <c r="D2944">
        <f>IFERROR(XLOOKUP(C2944,'Vendor Master'!$A$6:$A$15,'Vendor Master'!$B$6:$B$15,""),"")</f>
        <v/>
      </c>
      <c r="J2944">
        <f>IF(A2944="","",TEXT(A2944,"mmm-yyyy"))</f>
        <v/>
      </c>
    </row>
    <row r="2945">
      <c r="D2945">
        <f>IFERROR(XLOOKUP(C2945,'Vendor Master'!$A$6:$A$15,'Vendor Master'!$B$6:$B$15,""),"")</f>
        <v/>
      </c>
      <c r="J2945">
        <f>IF(A2945="","",TEXT(A2945,"mmm-yyyy"))</f>
        <v/>
      </c>
    </row>
    <row r="2946">
      <c r="D2946">
        <f>IFERROR(XLOOKUP(C2946,'Vendor Master'!$A$6:$A$15,'Vendor Master'!$B$6:$B$15,""),"")</f>
        <v/>
      </c>
      <c r="J2946">
        <f>IF(A2946="","",TEXT(A2946,"mmm-yyyy"))</f>
        <v/>
      </c>
    </row>
    <row r="2947">
      <c r="D2947">
        <f>IFERROR(XLOOKUP(C2947,'Vendor Master'!$A$6:$A$15,'Vendor Master'!$B$6:$B$15,""),"")</f>
        <v/>
      </c>
      <c r="J2947">
        <f>IF(A2947="","",TEXT(A2947,"mmm-yyyy"))</f>
        <v/>
      </c>
    </row>
    <row r="2948">
      <c r="D2948">
        <f>IFERROR(XLOOKUP(C2948,'Vendor Master'!$A$6:$A$15,'Vendor Master'!$B$6:$B$15,""),"")</f>
        <v/>
      </c>
      <c r="J2948">
        <f>IF(A2948="","",TEXT(A2948,"mmm-yyyy"))</f>
        <v/>
      </c>
    </row>
    <row r="2949">
      <c r="D2949">
        <f>IFERROR(XLOOKUP(C2949,'Vendor Master'!$A$6:$A$15,'Vendor Master'!$B$6:$B$15,""),"")</f>
        <v/>
      </c>
      <c r="J2949">
        <f>IF(A2949="","",TEXT(A2949,"mmm-yyyy"))</f>
        <v/>
      </c>
    </row>
    <row r="2950">
      <c r="D2950">
        <f>IFERROR(XLOOKUP(C2950,'Vendor Master'!$A$6:$A$15,'Vendor Master'!$B$6:$B$15,""),"")</f>
        <v/>
      </c>
      <c r="J2950">
        <f>IF(A2950="","",TEXT(A2950,"mmm-yyyy"))</f>
        <v/>
      </c>
    </row>
    <row r="2951">
      <c r="D2951">
        <f>IFERROR(XLOOKUP(C2951,'Vendor Master'!$A$6:$A$15,'Vendor Master'!$B$6:$B$15,""),"")</f>
        <v/>
      </c>
      <c r="J2951">
        <f>IF(A2951="","",TEXT(A2951,"mmm-yyyy"))</f>
        <v/>
      </c>
    </row>
    <row r="2952">
      <c r="D2952">
        <f>IFERROR(XLOOKUP(C2952,'Vendor Master'!$A$6:$A$15,'Vendor Master'!$B$6:$B$15,""),"")</f>
        <v/>
      </c>
      <c r="J2952">
        <f>IF(A2952="","",TEXT(A2952,"mmm-yyyy"))</f>
        <v/>
      </c>
    </row>
    <row r="2953">
      <c r="D2953">
        <f>IFERROR(XLOOKUP(C2953,'Vendor Master'!$A$6:$A$15,'Vendor Master'!$B$6:$B$15,""),"")</f>
        <v/>
      </c>
      <c r="J2953">
        <f>IF(A2953="","",TEXT(A2953,"mmm-yyyy"))</f>
        <v/>
      </c>
    </row>
    <row r="2954">
      <c r="D2954">
        <f>IFERROR(XLOOKUP(C2954,'Vendor Master'!$A$6:$A$15,'Vendor Master'!$B$6:$B$15,""),"")</f>
        <v/>
      </c>
      <c r="J2954">
        <f>IF(A2954="","",TEXT(A2954,"mmm-yyyy"))</f>
        <v/>
      </c>
    </row>
    <row r="2955">
      <c r="D2955">
        <f>IFERROR(XLOOKUP(C2955,'Vendor Master'!$A$6:$A$15,'Vendor Master'!$B$6:$B$15,""),"")</f>
        <v/>
      </c>
      <c r="J2955">
        <f>IF(A2955="","",TEXT(A2955,"mmm-yyyy"))</f>
        <v/>
      </c>
    </row>
    <row r="2956">
      <c r="D2956">
        <f>IFERROR(XLOOKUP(C2956,'Vendor Master'!$A$6:$A$15,'Vendor Master'!$B$6:$B$15,""),"")</f>
        <v/>
      </c>
      <c r="J2956">
        <f>IF(A2956="","",TEXT(A2956,"mmm-yyyy"))</f>
        <v/>
      </c>
    </row>
    <row r="2957">
      <c r="D2957">
        <f>IFERROR(XLOOKUP(C2957,'Vendor Master'!$A$6:$A$15,'Vendor Master'!$B$6:$B$15,""),"")</f>
        <v/>
      </c>
      <c r="J2957">
        <f>IF(A2957="","",TEXT(A2957,"mmm-yyyy"))</f>
        <v/>
      </c>
    </row>
    <row r="2958">
      <c r="D2958">
        <f>IFERROR(XLOOKUP(C2958,'Vendor Master'!$A$6:$A$15,'Vendor Master'!$B$6:$B$15,""),"")</f>
        <v/>
      </c>
      <c r="J2958">
        <f>IF(A2958="","",TEXT(A2958,"mmm-yyyy"))</f>
        <v/>
      </c>
    </row>
    <row r="2959">
      <c r="D2959">
        <f>IFERROR(XLOOKUP(C2959,'Vendor Master'!$A$6:$A$15,'Vendor Master'!$B$6:$B$15,""),"")</f>
        <v/>
      </c>
      <c r="J2959">
        <f>IF(A2959="","",TEXT(A2959,"mmm-yyyy"))</f>
        <v/>
      </c>
    </row>
    <row r="2960">
      <c r="D2960">
        <f>IFERROR(XLOOKUP(C2960,'Vendor Master'!$A$6:$A$15,'Vendor Master'!$B$6:$B$15,""),"")</f>
        <v/>
      </c>
      <c r="J2960">
        <f>IF(A2960="","",TEXT(A2960,"mmm-yyyy"))</f>
        <v/>
      </c>
    </row>
    <row r="2961">
      <c r="D2961">
        <f>IFERROR(XLOOKUP(C2961,'Vendor Master'!$A$6:$A$15,'Vendor Master'!$B$6:$B$15,""),"")</f>
        <v/>
      </c>
      <c r="J2961">
        <f>IF(A2961="","",TEXT(A2961,"mmm-yyyy"))</f>
        <v/>
      </c>
    </row>
    <row r="2962">
      <c r="D2962">
        <f>IFERROR(XLOOKUP(C2962,'Vendor Master'!$A$6:$A$15,'Vendor Master'!$B$6:$B$15,""),"")</f>
        <v/>
      </c>
      <c r="J2962">
        <f>IF(A2962="","",TEXT(A2962,"mmm-yyyy"))</f>
        <v/>
      </c>
    </row>
    <row r="2963">
      <c r="D2963">
        <f>IFERROR(XLOOKUP(C2963,'Vendor Master'!$A$6:$A$15,'Vendor Master'!$B$6:$B$15,""),"")</f>
        <v/>
      </c>
      <c r="J2963">
        <f>IF(A2963="","",TEXT(A2963,"mmm-yyyy"))</f>
        <v/>
      </c>
    </row>
    <row r="2964">
      <c r="D2964">
        <f>IFERROR(XLOOKUP(C2964,'Vendor Master'!$A$6:$A$15,'Vendor Master'!$B$6:$B$15,""),"")</f>
        <v/>
      </c>
      <c r="J2964">
        <f>IF(A2964="","",TEXT(A2964,"mmm-yyyy"))</f>
        <v/>
      </c>
    </row>
    <row r="2965">
      <c r="D2965">
        <f>IFERROR(XLOOKUP(C2965,'Vendor Master'!$A$6:$A$15,'Vendor Master'!$B$6:$B$15,""),"")</f>
        <v/>
      </c>
      <c r="J2965">
        <f>IF(A2965="","",TEXT(A2965,"mmm-yyyy"))</f>
        <v/>
      </c>
    </row>
    <row r="2966">
      <c r="D2966">
        <f>IFERROR(XLOOKUP(C2966,'Vendor Master'!$A$6:$A$15,'Vendor Master'!$B$6:$B$15,""),"")</f>
        <v/>
      </c>
      <c r="J2966">
        <f>IF(A2966="","",TEXT(A2966,"mmm-yyyy"))</f>
        <v/>
      </c>
    </row>
    <row r="2967">
      <c r="D2967">
        <f>IFERROR(XLOOKUP(C2967,'Vendor Master'!$A$6:$A$15,'Vendor Master'!$B$6:$B$15,""),"")</f>
        <v/>
      </c>
      <c r="J2967">
        <f>IF(A2967="","",TEXT(A2967,"mmm-yyyy"))</f>
        <v/>
      </c>
    </row>
    <row r="2968">
      <c r="D2968">
        <f>IFERROR(XLOOKUP(C2968,'Vendor Master'!$A$6:$A$15,'Vendor Master'!$B$6:$B$15,""),"")</f>
        <v/>
      </c>
      <c r="J2968">
        <f>IF(A2968="","",TEXT(A2968,"mmm-yyyy"))</f>
        <v/>
      </c>
    </row>
    <row r="2969">
      <c r="D2969">
        <f>IFERROR(XLOOKUP(C2969,'Vendor Master'!$A$6:$A$15,'Vendor Master'!$B$6:$B$15,""),"")</f>
        <v/>
      </c>
      <c r="J2969">
        <f>IF(A2969="","",TEXT(A2969,"mmm-yyyy"))</f>
        <v/>
      </c>
    </row>
    <row r="2970">
      <c r="D2970">
        <f>IFERROR(XLOOKUP(C2970,'Vendor Master'!$A$6:$A$15,'Vendor Master'!$B$6:$B$15,""),"")</f>
        <v/>
      </c>
      <c r="J2970">
        <f>IF(A2970="","",TEXT(A2970,"mmm-yyyy"))</f>
        <v/>
      </c>
    </row>
    <row r="2971">
      <c r="D2971">
        <f>IFERROR(XLOOKUP(C2971,'Vendor Master'!$A$6:$A$15,'Vendor Master'!$B$6:$B$15,""),"")</f>
        <v/>
      </c>
      <c r="J2971">
        <f>IF(A2971="","",TEXT(A2971,"mmm-yyyy"))</f>
        <v/>
      </c>
    </row>
    <row r="2972">
      <c r="D2972">
        <f>IFERROR(XLOOKUP(C2972,'Vendor Master'!$A$6:$A$15,'Vendor Master'!$B$6:$B$15,""),"")</f>
        <v/>
      </c>
      <c r="J2972">
        <f>IF(A2972="","",TEXT(A2972,"mmm-yyyy"))</f>
        <v/>
      </c>
    </row>
    <row r="2973">
      <c r="D2973">
        <f>IFERROR(XLOOKUP(C2973,'Vendor Master'!$A$6:$A$15,'Vendor Master'!$B$6:$B$15,""),"")</f>
        <v/>
      </c>
      <c r="J2973">
        <f>IF(A2973="","",TEXT(A2973,"mmm-yyyy"))</f>
        <v/>
      </c>
    </row>
    <row r="2974">
      <c r="D2974">
        <f>IFERROR(XLOOKUP(C2974,'Vendor Master'!$A$6:$A$15,'Vendor Master'!$B$6:$B$15,""),"")</f>
        <v/>
      </c>
      <c r="J2974">
        <f>IF(A2974="","",TEXT(A2974,"mmm-yyyy"))</f>
        <v/>
      </c>
    </row>
    <row r="2975">
      <c r="D2975">
        <f>IFERROR(XLOOKUP(C2975,'Vendor Master'!$A$6:$A$15,'Vendor Master'!$B$6:$B$15,""),"")</f>
        <v/>
      </c>
      <c r="J2975">
        <f>IF(A2975="","",TEXT(A2975,"mmm-yyyy"))</f>
        <v/>
      </c>
    </row>
    <row r="2976">
      <c r="D2976">
        <f>IFERROR(XLOOKUP(C2976,'Vendor Master'!$A$6:$A$15,'Vendor Master'!$B$6:$B$15,""),"")</f>
        <v/>
      </c>
      <c r="J2976">
        <f>IF(A2976="","",TEXT(A2976,"mmm-yyyy"))</f>
        <v/>
      </c>
    </row>
    <row r="2977">
      <c r="D2977">
        <f>IFERROR(XLOOKUP(C2977,'Vendor Master'!$A$6:$A$15,'Vendor Master'!$B$6:$B$15,""),"")</f>
        <v/>
      </c>
      <c r="J2977">
        <f>IF(A2977="","",TEXT(A2977,"mmm-yyyy"))</f>
        <v/>
      </c>
    </row>
    <row r="2978">
      <c r="D2978">
        <f>IFERROR(XLOOKUP(C2978,'Vendor Master'!$A$6:$A$15,'Vendor Master'!$B$6:$B$15,""),"")</f>
        <v/>
      </c>
      <c r="J2978">
        <f>IF(A2978="","",TEXT(A2978,"mmm-yyyy"))</f>
        <v/>
      </c>
    </row>
    <row r="2979">
      <c r="D2979">
        <f>IFERROR(XLOOKUP(C2979,'Vendor Master'!$A$6:$A$15,'Vendor Master'!$B$6:$B$15,""),"")</f>
        <v/>
      </c>
      <c r="J2979">
        <f>IF(A2979="","",TEXT(A2979,"mmm-yyyy"))</f>
        <v/>
      </c>
    </row>
    <row r="2980">
      <c r="D2980">
        <f>IFERROR(XLOOKUP(C2980,'Vendor Master'!$A$6:$A$15,'Vendor Master'!$B$6:$B$15,""),"")</f>
        <v/>
      </c>
      <c r="J2980">
        <f>IF(A2980="","",TEXT(A2980,"mmm-yyyy"))</f>
        <v/>
      </c>
    </row>
    <row r="2981">
      <c r="D2981">
        <f>IFERROR(XLOOKUP(C2981,'Vendor Master'!$A$6:$A$15,'Vendor Master'!$B$6:$B$15,""),"")</f>
        <v/>
      </c>
      <c r="J2981">
        <f>IF(A2981="","",TEXT(A2981,"mmm-yyyy"))</f>
        <v/>
      </c>
    </row>
    <row r="2982">
      <c r="D2982">
        <f>IFERROR(XLOOKUP(C2982,'Vendor Master'!$A$6:$A$15,'Vendor Master'!$B$6:$B$15,""),"")</f>
        <v/>
      </c>
      <c r="J2982">
        <f>IF(A2982="","",TEXT(A2982,"mmm-yyyy"))</f>
        <v/>
      </c>
    </row>
    <row r="2983">
      <c r="D2983">
        <f>IFERROR(XLOOKUP(C2983,'Vendor Master'!$A$6:$A$15,'Vendor Master'!$B$6:$B$15,""),"")</f>
        <v/>
      </c>
      <c r="J2983">
        <f>IF(A2983="","",TEXT(A2983,"mmm-yyyy"))</f>
        <v/>
      </c>
    </row>
    <row r="2984">
      <c r="D2984">
        <f>IFERROR(XLOOKUP(C2984,'Vendor Master'!$A$6:$A$15,'Vendor Master'!$B$6:$B$15,""),"")</f>
        <v/>
      </c>
      <c r="J2984">
        <f>IF(A2984="","",TEXT(A2984,"mmm-yyyy"))</f>
        <v/>
      </c>
    </row>
    <row r="2985">
      <c r="D2985">
        <f>IFERROR(XLOOKUP(C2985,'Vendor Master'!$A$6:$A$15,'Vendor Master'!$B$6:$B$15,""),"")</f>
        <v/>
      </c>
      <c r="J2985">
        <f>IF(A2985="","",TEXT(A2985,"mmm-yyyy"))</f>
        <v/>
      </c>
    </row>
    <row r="2986">
      <c r="D2986">
        <f>IFERROR(XLOOKUP(C2986,'Vendor Master'!$A$6:$A$15,'Vendor Master'!$B$6:$B$15,""),"")</f>
        <v/>
      </c>
      <c r="J2986">
        <f>IF(A2986="","",TEXT(A2986,"mmm-yyyy"))</f>
        <v/>
      </c>
    </row>
    <row r="2987">
      <c r="D2987">
        <f>IFERROR(XLOOKUP(C2987,'Vendor Master'!$A$6:$A$15,'Vendor Master'!$B$6:$B$15,""),"")</f>
        <v/>
      </c>
      <c r="J2987">
        <f>IF(A2987="","",TEXT(A2987,"mmm-yyyy"))</f>
        <v/>
      </c>
    </row>
    <row r="2988">
      <c r="D2988">
        <f>IFERROR(XLOOKUP(C2988,'Vendor Master'!$A$6:$A$15,'Vendor Master'!$B$6:$B$15,""),"")</f>
        <v/>
      </c>
      <c r="J2988">
        <f>IF(A2988="","",TEXT(A2988,"mmm-yyyy"))</f>
        <v/>
      </c>
    </row>
    <row r="2989">
      <c r="D2989">
        <f>IFERROR(XLOOKUP(C2989,'Vendor Master'!$A$6:$A$15,'Vendor Master'!$B$6:$B$15,""),"")</f>
        <v/>
      </c>
      <c r="J2989">
        <f>IF(A2989="","",TEXT(A2989,"mmm-yyyy"))</f>
        <v/>
      </c>
    </row>
    <row r="2990">
      <c r="D2990">
        <f>IFERROR(XLOOKUP(C2990,'Vendor Master'!$A$6:$A$15,'Vendor Master'!$B$6:$B$15,""),"")</f>
        <v/>
      </c>
      <c r="J2990">
        <f>IF(A2990="","",TEXT(A2990,"mmm-yyyy"))</f>
        <v/>
      </c>
    </row>
    <row r="2991">
      <c r="D2991">
        <f>IFERROR(XLOOKUP(C2991,'Vendor Master'!$A$6:$A$15,'Vendor Master'!$B$6:$B$15,""),"")</f>
        <v/>
      </c>
      <c r="J2991">
        <f>IF(A2991="","",TEXT(A2991,"mmm-yyyy"))</f>
        <v/>
      </c>
    </row>
    <row r="2992">
      <c r="D2992">
        <f>IFERROR(XLOOKUP(C2992,'Vendor Master'!$A$6:$A$15,'Vendor Master'!$B$6:$B$15,""),"")</f>
        <v/>
      </c>
      <c r="J2992">
        <f>IF(A2992="","",TEXT(A2992,"mmm-yyyy"))</f>
        <v/>
      </c>
    </row>
    <row r="2993">
      <c r="D2993">
        <f>IFERROR(XLOOKUP(C2993,'Vendor Master'!$A$6:$A$15,'Vendor Master'!$B$6:$B$15,""),"")</f>
        <v/>
      </c>
      <c r="J2993">
        <f>IF(A2993="","",TEXT(A2993,"mmm-yyyy"))</f>
        <v/>
      </c>
    </row>
    <row r="2994">
      <c r="D2994">
        <f>IFERROR(XLOOKUP(C2994,'Vendor Master'!$A$6:$A$15,'Vendor Master'!$B$6:$B$15,""),"")</f>
        <v/>
      </c>
      <c r="J2994">
        <f>IF(A2994="","",TEXT(A2994,"mmm-yyyy"))</f>
        <v/>
      </c>
    </row>
    <row r="2995">
      <c r="D2995">
        <f>IFERROR(XLOOKUP(C2995,'Vendor Master'!$A$6:$A$15,'Vendor Master'!$B$6:$B$15,""),"")</f>
        <v/>
      </c>
      <c r="J2995">
        <f>IF(A2995="","",TEXT(A2995,"mmm-yyyy"))</f>
        <v/>
      </c>
    </row>
    <row r="2996">
      <c r="D2996">
        <f>IFERROR(XLOOKUP(C2996,'Vendor Master'!$A$6:$A$15,'Vendor Master'!$B$6:$B$15,""),"")</f>
        <v/>
      </c>
      <c r="J2996">
        <f>IF(A2996="","",TEXT(A2996,"mmm-yyyy"))</f>
        <v/>
      </c>
    </row>
    <row r="2997">
      <c r="D2997">
        <f>IFERROR(XLOOKUP(C2997,'Vendor Master'!$A$6:$A$15,'Vendor Master'!$B$6:$B$15,""),"")</f>
        <v/>
      </c>
      <c r="J2997">
        <f>IF(A2997="","",TEXT(A2997,"mmm-yyyy"))</f>
        <v/>
      </c>
    </row>
    <row r="2998">
      <c r="D2998">
        <f>IFERROR(XLOOKUP(C2998,'Vendor Master'!$A$6:$A$15,'Vendor Master'!$B$6:$B$15,""),"")</f>
        <v/>
      </c>
      <c r="J2998">
        <f>IF(A2998="","",TEXT(A2998,"mmm-yyyy"))</f>
        <v/>
      </c>
    </row>
    <row r="2999">
      <c r="D2999">
        <f>IFERROR(XLOOKUP(C2999,'Vendor Master'!$A$6:$A$15,'Vendor Master'!$B$6:$B$15,""),"")</f>
        <v/>
      </c>
      <c r="J2999">
        <f>IF(A2999="","",TEXT(A2999,"mmm-yyyy"))</f>
        <v/>
      </c>
    </row>
    <row r="3000">
      <c r="D3000">
        <f>IFERROR(XLOOKUP(C3000,'Vendor Master'!$A$6:$A$15,'Vendor Master'!$B$6:$B$15,""),"")</f>
        <v/>
      </c>
      <c r="J3000">
        <f>IF(A3000="","",TEXT(A3000,"mmm-yyyy"))</f>
        <v/>
      </c>
    </row>
    <row r="3001">
      <c r="D3001">
        <f>IFERROR(XLOOKUP(C3001,'Vendor Master'!$A$6:$A$15,'Vendor Master'!$B$6:$B$15,""),"")</f>
        <v/>
      </c>
      <c r="J3001">
        <f>IF(A3001="","",TEXT(A3001,"mmm-yyyy"))</f>
        <v/>
      </c>
    </row>
    <row r="3002">
      <c r="D3002">
        <f>IFERROR(XLOOKUP(C3002,'Vendor Master'!$A$6:$A$15,'Vendor Master'!$B$6:$B$15,""),"")</f>
        <v/>
      </c>
      <c r="J3002">
        <f>IF(A3002="","",TEXT(A3002,"mmm-yyyy"))</f>
        <v/>
      </c>
    </row>
    <row r="3003">
      <c r="D3003">
        <f>IFERROR(XLOOKUP(C3003,'Vendor Master'!$A$6:$A$15,'Vendor Master'!$B$6:$B$15,""),"")</f>
        <v/>
      </c>
      <c r="J3003">
        <f>IF(A3003="","",TEXT(A3003,"mmm-yyyy"))</f>
        <v/>
      </c>
    </row>
    <row r="3004">
      <c r="D3004">
        <f>IFERROR(XLOOKUP(C3004,'Vendor Master'!$A$6:$A$15,'Vendor Master'!$B$6:$B$15,""),"")</f>
        <v/>
      </c>
      <c r="J3004">
        <f>IF(A3004="","",TEXT(A3004,"mmm-yyyy"))</f>
        <v/>
      </c>
    </row>
    <row r="3005">
      <c r="D3005">
        <f>IFERROR(XLOOKUP(C3005,'Vendor Master'!$A$6:$A$15,'Vendor Master'!$B$6:$B$15,""),"")</f>
        <v/>
      </c>
      <c r="J3005">
        <f>IF(A3005="","",TEXT(A3005,"mmm-yyyy"))</f>
        <v/>
      </c>
    </row>
    <row r="3006">
      <c r="D3006">
        <f>IFERROR(XLOOKUP(C3006,'Vendor Master'!$A$6:$A$15,'Vendor Master'!$B$6:$B$15,""),"")</f>
        <v/>
      </c>
      <c r="J3006">
        <f>IF(A3006="","",TEXT(A3006,"mmm-yyyy"))</f>
        <v/>
      </c>
    </row>
    <row r="3007">
      <c r="D3007">
        <f>IFERROR(XLOOKUP(C3007,'Vendor Master'!$A$6:$A$15,'Vendor Master'!$B$6:$B$15,""),"")</f>
        <v/>
      </c>
      <c r="J3007">
        <f>IF(A3007="","",TEXT(A3007,"mmm-yyyy"))</f>
        <v/>
      </c>
    </row>
    <row r="3008">
      <c r="D3008">
        <f>IFERROR(XLOOKUP(C3008,'Vendor Master'!$A$6:$A$15,'Vendor Master'!$B$6:$B$15,""),"")</f>
        <v/>
      </c>
      <c r="J3008">
        <f>IF(A3008="","",TEXT(A3008,"mmm-yyyy"))</f>
        <v/>
      </c>
    </row>
    <row r="3009">
      <c r="D3009">
        <f>IFERROR(XLOOKUP(C3009,'Vendor Master'!$A$6:$A$15,'Vendor Master'!$B$6:$B$15,""),"")</f>
        <v/>
      </c>
      <c r="J3009">
        <f>IF(A3009="","",TEXT(A3009,"mmm-yyyy"))</f>
        <v/>
      </c>
    </row>
    <row r="3010">
      <c r="D3010">
        <f>IFERROR(XLOOKUP(C3010,'Vendor Master'!$A$6:$A$15,'Vendor Master'!$B$6:$B$15,""),"")</f>
        <v/>
      </c>
      <c r="J3010">
        <f>IF(A3010="","",TEXT(A3010,"mmm-yyyy"))</f>
        <v/>
      </c>
    </row>
    <row r="3011">
      <c r="D3011">
        <f>IFERROR(XLOOKUP(C3011,'Vendor Master'!$A$6:$A$15,'Vendor Master'!$B$6:$B$15,""),"")</f>
        <v/>
      </c>
      <c r="J3011">
        <f>IF(A3011="","",TEXT(A3011,"mmm-yyyy"))</f>
        <v/>
      </c>
    </row>
    <row r="3012">
      <c r="D3012">
        <f>IFERROR(XLOOKUP(C3012,'Vendor Master'!$A$6:$A$15,'Vendor Master'!$B$6:$B$15,""),"")</f>
        <v/>
      </c>
      <c r="J3012">
        <f>IF(A3012="","",TEXT(A3012,"mmm-yyyy"))</f>
        <v/>
      </c>
    </row>
    <row r="3013">
      <c r="D3013">
        <f>IFERROR(XLOOKUP(C3013,'Vendor Master'!$A$6:$A$15,'Vendor Master'!$B$6:$B$15,""),"")</f>
        <v/>
      </c>
      <c r="J3013">
        <f>IF(A3013="","",TEXT(A3013,"mmm-yyyy"))</f>
        <v/>
      </c>
    </row>
    <row r="3014">
      <c r="D3014">
        <f>IFERROR(XLOOKUP(C3014,'Vendor Master'!$A$6:$A$15,'Vendor Master'!$B$6:$B$15,""),"")</f>
        <v/>
      </c>
      <c r="J3014">
        <f>IF(A3014="","",TEXT(A3014,"mmm-yyyy"))</f>
        <v/>
      </c>
    </row>
    <row r="3015">
      <c r="D3015">
        <f>IFERROR(XLOOKUP(C3015,'Vendor Master'!$A$6:$A$15,'Vendor Master'!$B$6:$B$15,""),"")</f>
        <v/>
      </c>
      <c r="J3015">
        <f>IF(A3015="","",TEXT(A3015,"mmm-yyyy"))</f>
        <v/>
      </c>
    </row>
    <row r="3016">
      <c r="D3016">
        <f>IFERROR(XLOOKUP(C3016,'Vendor Master'!$A$6:$A$15,'Vendor Master'!$B$6:$B$15,""),"")</f>
        <v/>
      </c>
      <c r="J3016">
        <f>IF(A3016="","",TEXT(A3016,"mmm-yyyy"))</f>
        <v/>
      </c>
    </row>
    <row r="3017">
      <c r="D3017">
        <f>IFERROR(XLOOKUP(C3017,'Vendor Master'!$A$6:$A$15,'Vendor Master'!$B$6:$B$15,""),"")</f>
        <v/>
      </c>
      <c r="J3017">
        <f>IF(A3017="","",TEXT(A3017,"mmm-yyyy"))</f>
        <v/>
      </c>
    </row>
    <row r="3018">
      <c r="D3018">
        <f>IFERROR(XLOOKUP(C3018,'Vendor Master'!$A$6:$A$15,'Vendor Master'!$B$6:$B$15,""),"")</f>
        <v/>
      </c>
      <c r="J3018">
        <f>IF(A3018="","",TEXT(A3018,"mmm-yyyy"))</f>
        <v/>
      </c>
    </row>
    <row r="3019">
      <c r="D3019">
        <f>IFERROR(XLOOKUP(C3019,'Vendor Master'!$A$6:$A$15,'Vendor Master'!$B$6:$B$15,""),"")</f>
        <v/>
      </c>
      <c r="J3019">
        <f>IF(A3019="","",TEXT(A3019,"mmm-yyyy"))</f>
        <v/>
      </c>
    </row>
    <row r="3020">
      <c r="D3020">
        <f>IFERROR(XLOOKUP(C3020,'Vendor Master'!$A$6:$A$15,'Vendor Master'!$B$6:$B$15,""),"")</f>
        <v/>
      </c>
      <c r="J3020">
        <f>IF(A3020="","",TEXT(A3020,"mmm-yyyy"))</f>
        <v/>
      </c>
    </row>
    <row r="3021">
      <c r="D3021">
        <f>IFERROR(XLOOKUP(C3021,'Vendor Master'!$A$6:$A$15,'Vendor Master'!$B$6:$B$15,""),"")</f>
        <v/>
      </c>
      <c r="J3021">
        <f>IF(A3021="","",TEXT(A3021,"mmm-yyyy"))</f>
        <v/>
      </c>
    </row>
    <row r="3022">
      <c r="D3022">
        <f>IFERROR(XLOOKUP(C3022,'Vendor Master'!$A$6:$A$15,'Vendor Master'!$B$6:$B$15,""),"")</f>
        <v/>
      </c>
      <c r="J3022">
        <f>IF(A3022="","",TEXT(A3022,"mmm-yyyy"))</f>
        <v/>
      </c>
    </row>
    <row r="3023">
      <c r="D3023">
        <f>IFERROR(XLOOKUP(C3023,'Vendor Master'!$A$6:$A$15,'Vendor Master'!$B$6:$B$15,""),"")</f>
        <v/>
      </c>
      <c r="J3023">
        <f>IF(A3023="","",TEXT(A3023,"mmm-yyyy"))</f>
        <v/>
      </c>
    </row>
    <row r="3024">
      <c r="D3024">
        <f>IFERROR(XLOOKUP(C3024,'Vendor Master'!$A$6:$A$15,'Vendor Master'!$B$6:$B$15,""),"")</f>
        <v/>
      </c>
      <c r="J3024">
        <f>IF(A3024="","",TEXT(A3024,"mmm-yyyy"))</f>
        <v/>
      </c>
    </row>
    <row r="3025">
      <c r="D3025">
        <f>IFERROR(XLOOKUP(C3025,'Vendor Master'!$A$6:$A$15,'Vendor Master'!$B$6:$B$15,""),"")</f>
        <v/>
      </c>
      <c r="J3025">
        <f>IF(A3025="","",TEXT(A3025,"mmm-yyyy"))</f>
        <v/>
      </c>
    </row>
    <row r="3026">
      <c r="D3026">
        <f>IFERROR(XLOOKUP(C3026,'Vendor Master'!$A$6:$A$15,'Vendor Master'!$B$6:$B$15,""),"")</f>
        <v/>
      </c>
      <c r="J3026">
        <f>IF(A3026="","",TEXT(A3026,"mmm-yyyy"))</f>
        <v/>
      </c>
    </row>
    <row r="3027">
      <c r="D3027">
        <f>IFERROR(XLOOKUP(C3027,'Vendor Master'!$A$6:$A$15,'Vendor Master'!$B$6:$B$15,""),"")</f>
        <v/>
      </c>
      <c r="J3027">
        <f>IF(A3027="","",TEXT(A3027,"mmm-yyyy"))</f>
        <v/>
      </c>
    </row>
    <row r="3028">
      <c r="D3028">
        <f>IFERROR(XLOOKUP(C3028,'Vendor Master'!$A$6:$A$15,'Vendor Master'!$B$6:$B$15,""),"")</f>
        <v/>
      </c>
      <c r="J3028">
        <f>IF(A3028="","",TEXT(A3028,"mmm-yyyy"))</f>
        <v/>
      </c>
    </row>
    <row r="3029">
      <c r="D3029">
        <f>IFERROR(XLOOKUP(C3029,'Vendor Master'!$A$6:$A$15,'Vendor Master'!$B$6:$B$15,""),"")</f>
        <v/>
      </c>
      <c r="J3029">
        <f>IF(A3029="","",TEXT(A3029,"mmm-yyyy"))</f>
        <v/>
      </c>
    </row>
    <row r="3030">
      <c r="D3030">
        <f>IFERROR(XLOOKUP(C3030,'Vendor Master'!$A$6:$A$15,'Vendor Master'!$B$6:$B$15,""),"")</f>
        <v/>
      </c>
      <c r="J3030">
        <f>IF(A3030="","",TEXT(A3030,"mmm-yyyy"))</f>
        <v/>
      </c>
    </row>
    <row r="3031">
      <c r="D3031">
        <f>IFERROR(XLOOKUP(C3031,'Vendor Master'!$A$6:$A$15,'Vendor Master'!$B$6:$B$15,""),"")</f>
        <v/>
      </c>
      <c r="J3031">
        <f>IF(A3031="","",TEXT(A3031,"mmm-yyyy"))</f>
        <v/>
      </c>
    </row>
    <row r="3032">
      <c r="D3032">
        <f>IFERROR(XLOOKUP(C3032,'Vendor Master'!$A$6:$A$15,'Vendor Master'!$B$6:$B$15,""),"")</f>
        <v/>
      </c>
      <c r="J3032">
        <f>IF(A3032="","",TEXT(A3032,"mmm-yyyy"))</f>
        <v/>
      </c>
    </row>
    <row r="3033">
      <c r="D3033">
        <f>IFERROR(XLOOKUP(C3033,'Vendor Master'!$A$6:$A$15,'Vendor Master'!$B$6:$B$15,""),"")</f>
        <v/>
      </c>
      <c r="J3033">
        <f>IF(A3033="","",TEXT(A3033,"mmm-yyyy"))</f>
        <v/>
      </c>
    </row>
    <row r="3034">
      <c r="D3034">
        <f>IFERROR(XLOOKUP(C3034,'Vendor Master'!$A$6:$A$15,'Vendor Master'!$B$6:$B$15,""),"")</f>
        <v/>
      </c>
      <c r="J3034">
        <f>IF(A3034="","",TEXT(A3034,"mmm-yyyy"))</f>
        <v/>
      </c>
    </row>
    <row r="3035">
      <c r="D3035">
        <f>IFERROR(XLOOKUP(C3035,'Vendor Master'!$A$6:$A$15,'Vendor Master'!$B$6:$B$15,""),"")</f>
        <v/>
      </c>
      <c r="J3035">
        <f>IF(A3035="","",TEXT(A3035,"mmm-yyyy"))</f>
        <v/>
      </c>
    </row>
    <row r="3036">
      <c r="D3036">
        <f>IFERROR(XLOOKUP(C3036,'Vendor Master'!$A$6:$A$15,'Vendor Master'!$B$6:$B$15,""),"")</f>
        <v/>
      </c>
      <c r="J3036">
        <f>IF(A3036="","",TEXT(A3036,"mmm-yyyy"))</f>
        <v/>
      </c>
    </row>
    <row r="3037">
      <c r="D3037">
        <f>IFERROR(XLOOKUP(C3037,'Vendor Master'!$A$6:$A$15,'Vendor Master'!$B$6:$B$15,""),"")</f>
        <v/>
      </c>
      <c r="J3037">
        <f>IF(A3037="","",TEXT(A3037,"mmm-yyyy"))</f>
        <v/>
      </c>
    </row>
    <row r="3038">
      <c r="D3038">
        <f>IFERROR(XLOOKUP(C3038,'Vendor Master'!$A$6:$A$15,'Vendor Master'!$B$6:$B$15,""),"")</f>
        <v/>
      </c>
      <c r="J3038">
        <f>IF(A3038="","",TEXT(A3038,"mmm-yyyy"))</f>
        <v/>
      </c>
    </row>
    <row r="3039">
      <c r="D3039">
        <f>IFERROR(XLOOKUP(C3039,'Vendor Master'!$A$6:$A$15,'Vendor Master'!$B$6:$B$15,""),"")</f>
        <v/>
      </c>
      <c r="J3039">
        <f>IF(A3039="","",TEXT(A3039,"mmm-yyyy"))</f>
        <v/>
      </c>
    </row>
    <row r="3040">
      <c r="D3040">
        <f>IFERROR(XLOOKUP(C3040,'Vendor Master'!$A$6:$A$15,'Vendor Master'!$B$6:$B$15,""),"")</f>
        <v/>
      </c>
      <c r="J3040">
        <f>IF(A3040="","",TEXT(A3040,"mmm-yyyy"))</f>
        <v/>
      </c>
    </row>
    <row r="3041">
      <c r="D3041">
        <f>IFERROR(XLOOKUP(C3041,'Vendor Master'!$A$6:$A$15,'Vendor Master'!$B$6:$B$15,""),"")</f>
        <v/>
      </c>
      <c r="J3041">
        <f>IF(A3041="","",TEXT(A3041,"mmm-yyyy"))</f>
        <v/>
      </c>
    </row>
    <row r="3042">
      <c r="D3042">
        <f>IFERROR(XLOOKUP(C3042,'Vendor Master'!$A$6:$A$15,'Vendor Master'!$B$6:$B$15,""),"")</f>
        <v/>
      </c>
      <c r="J3042">
        <f>IF(A3042="","",TEXT(A3042,"mmm-yyyy"))</f>
        <v/>
      </c>
    </row>
    <row r="3043">
      <c r="D3043">
        <f>IFERROR(XLOOKUP(C3043,'Vendor Master'!$A$6:$A$15,'Vendor Master'!$B$6:$B$15,""),"")</f>
        <v/>
      </c>
      <c r="J3043">
        <f>IF(A3043="","",TEXT(A3043,"mmm-yyyy"))</f>
        <v/>
      </c>
    </row>
    <row r="3044">
      <c r="D3044">
        <f>IFERROR(XLOOKUP(C3044,'Vendor Master'!$A$6:$A$15,'Vendor Master'!$B$6:$B$15,""),"")</f>
        <v/>
      </c>
      <c r="J3044">
        <f>IF(A3044="","",TEXT(A3044,"mmm-yyyy"))</f>
        <v/>
      </c>
    </row>
    <row r="3045">
      <c r="D3045">
        <f>IFERROR(XLOOKUP(C3045,'Vendor Master'!$A$6:$A$15,'Vendor Master'!$B$6:$B$15,""),"")</f>
        <v/>
      </c>
      <c r="J3045">
        <f>IF(A3045="","",TEXT(A3045,"mmm-yyyy"))</f>
        <v/>
      </c>
    </row>
    <row r="3046">
      <c r="D3046">
        <f>IFERROR(XLOOKUP(C3046,'Vendor Master'!$A$6:$A$15,'Vendor Master'!$B$6:$B$15,""),"")</f>
        <v/>
      </c>
      <c r="J3046">
        <f>IF(A3046="","",TEXT(A3046,"mmm-yyyy"))</f>
        <v/>
      </c>
    </row>
    <row r="3047">
      <c r="D3047">
        <f>IFERROR(XLOOKUP(C3047,'Vendor Master'!$A$6:$A$15,'Vendor Master'!$B$6:$B$15,""),"")</f>
        <v/>
      </c>
      <c r="J3047">
        <f>IF(A3047="","",TEXT(A3047,"mmm-yyyy"))</f>
        <v/>
      </c>
    </row>
    <row r="3048">
      <c r="D3048">
        <f>IFERROR(XLOOKUP(C3048,'Vendor Master'!$A$6:$A$15,'Vendor Master'!$B$6:$B$15,""),"")</f>
        <v/>
      </c>
      <c r="J3048">
        <f>IF(A3048="","",TEXT(A3048,"mmm-yyyy"))</f>
        <v/>
      </c>
    </row>
    <row r="3049">
      <c r="D3049">
        <f>IFERROR(XLOOKUP(C3049,'Vendor Master'!$A$6:$A$15,'Vendor Master'!$B$6:$B$15,""),"")</f>
        <v/>
      </c>
      <c r="J3049">
        <f>IF(A3049="","",TEXT(A3049,"mmm-yyyy"))</f>
        <v/>
      </c>
    </row>
    <row r="3050">
      <c r="D3050">
        <f>IFERROR(XLOOKUP(C3050,'Vendor Master'!$A$6:$A$15,'Vendor Master'!$B$6:$B$15,""),"")</f>
        <v/>
      </c>
      <c r="J3050">
        <f>IF(A3050="","",TEXT(A3050,"mmm-yyyy"))</f>
        <v/>
      </c>
    </row>
    <row r="3051">
      <c r="D3051">
        <f>IFERROR(XLOOKUP(C3051,'Vendor Master'!$A$6:$A$15,'Vendor Master'!$B$6:$B$15,""),"")</f>
        <v/>
      </c>
      <c r="J3051">
        <f>IF(A3051="","",TEXT(A3051,"mmm-yyyy"))</f>
        <v/>
      </c>
    </row>
    <row r="3052">
      <c r="D3052">
        <f>IFERROR(XLOOKUP(C3052,'Vendor Master'!$A$6:$A$15,'Vendor Master'!$B$6:$B$15,""),"")</f>
        <v/>
      </c>
      <c r="J3052">
        <f>IF(A3052="","",TEXT(A3052,"mmm-yyyy"))</f>
        <v/>
      </c>
    </row>
    <row r="3053">
      <c r="D3053">
        <f>IFERROR(XLOOKUP(C3053,'Vendor Master'!$A$6:$A$15,'Vendor Master'!$B$6:$B$15,""),"")</f>
        <v/>
      </c>
      <c r="J3053">
        <f>IF(A3053="","",TEXT(A3053,"mmm-yyyy"))</f>
        <v/>
      </c>
    </row>
    <row r="3054">
      <c r="D3054">
        <f>IFERROR(XLOOKUP(C3054,'Vendor Master'!$A$6:$A$15,'Vendor Master'!$B$6:$B$15,""),"")</f>
        <v/>
      </c>
      <c r="J3054">
        <f>IF(A3054="","",TEXT(A3054,"mmm-yyyy"))</f>
        <v/>
      </c>
    </row>
    <row r="3055">
      <c r="D3055">
        <f>IFERROR(XLOOKUP(C3055,'Vendor Master'!$A$6:$A$15,'Vendor Master'!$B$6:$B$15,""),"")</f>
        <v/>
      </c>
      <c r="J3055">
        <f>IF(A3055="","",TEXT(A3055,"mmm-yyyy"))</f>
        <v/>
      </c>
    </row>
    <row r="3056">
      <c r="D3056">
        <f>IFERROR(XLOOKUP(C3056,'Vendor Master'!$A$6:$A$15,'Vendor Master'!$B$6:$B$15,""),"")</f>
        <v/>
      </c>
      <c r="J3056">
        <f>IF(A3056="","",TEXT(A3056,"mmm-yyyy"))</f>
        <v/>
      </c>
    </row>
    <row r="3057">
      <c r="D3057">
        <f>IFERROR(XLOOKUP(C3057,'Vendor Master'!$A$6:$A$15,'Vendor Master'!$B$6:$B$15,""),"")</f>
        <v/>
      </c>
      <c r="J3057">
        <f>IF(A3057="","",TEXT(A3057,"mmm-yyyy"))</f>
        <v/>
      </c>
    </row>
    <row r="3058">
      <c r="D3058">
        <f>IFERROR(XLOOKUP(C3058,'Vendor Master'!$A$6:$A$15,'Vendor Master'!$B$6:$B$15,""),"")</f>
        <v/>
      </c>
      <c r="J3058">
        <f>IF(A3058="","",TEXT(A3058,"mmm-yyyy"))</f>
        <v/>
      </c>
    </row>
    <row r="3059">
      <c r="D3059">
        <f>IFERROR(XLOOKUP(C3059,'Vendor Master'!$A$6:$A$15,'Vendor Master'!$B$6:$B$15,""),"")</f>
        <v/>
      </c>
      <c r="J3059">
        <f>IF(A3059="","",TEXT(A3059,"mmm-yyyy"))</f>
        <v/>
      </c>
    </row>
    <row r="3060">
      <c r="D3060">
        <f>IFERROR(XLOOKUP(C3060,'Vendor Master'!$A$6:$A$15,'Vendor Master'!$B$6:$B$15,""),"")</f>
        <v/>
      </c>
      <c r="J3060">
        <f>IF(A3060="","",TEXT(A3060,"mmm-yyyy"))</f>
        <v/>
      </c>
    </row>
    <row r="3061">
      <c r="D3061">
        <f>IFERROR(XLOOKUP(C3061,'Vendor Master'!$A$6:$A$15,'Vendor Master'!$B$6:$B$15,""),"")</f>
        <v/>
      </c>
      <c r="J3061">
        <f>IF(A3061="","",TEXT(A3061,"mmm-yyyy"))</f>
        <v/>
      </c>
    </row>
    <row r="3062">
      <c r="D3062">
        <f>IFERROR(XLOOKUP(C3062,'Vendor Master'!$A$6:$A$15,'Vendor Master'!$B$6:$B$15,""),"")</f>
        <v/>
      </c>
      <c r="J3062">
        <f>IF(A3062="","",TEXT(A3062,"mmm-yyyy"))</f>
        <v/>
      </c>
    </row>
    <row r="3063">
      <c r="D3063">
        <f>IFERROR(XLOOKUP(C3063,'Vendor Master'!$A$6:$A$15,'Vendor Master'!$B$6:$B$15,""),"")</f>
        <v/>
      </c>
      <c r="J3063">
        <f>IF(A3063="","",TEXT(A3063,"mmm-yyyy"))</f>
        <v/>
      </c>
    </row>
    <row r="3064">
      <c r="D3064">
        <f>IFERROR(XLOOKUP(C3064,'Vendor Master'!$A$6:$A$15,'Vendor Master'!$B$6:$B$15,""),"")</f>
        <v/>
      </c>
      <c r="J3064">
        <f>IF(A3064="","",TEXT(A3064,"mmm-yyyy"))</f>
        <v/>
      </c>
    </row>
    <row r="3065">
      <c r="D3065">
        <f>IFERROR(XLOOKUP(C3065,'Vendor Master'!$A$6:$A$15,'Vendor Master'!$B$6:$B$15,""),"")</f>
        <v/>
      </c>
      <c r="J3065">
        <f>IF(A3065="","",TEXT(A3065,"mmm-yyyy"))</f>
        <v/>
      </c>
    </row>
    <row r="3066">
      <c r="D3066">
        <f>IFERROR(XLOOKUP(C3066,'Vendor Master'!$A$6:$A$15,'Vendor Master'!$B$6:$B$15,""),"")</f>
        <v/>
      </c>
      <c r="J3066">
        <f>IF(A3066="","",TEXT(A3066,"mmm-yyyy"))</f>
        <v/>
      </c>
    </row>
    <row r="3067">
      <c r="D3067">
        <f>IFERROR(XLOOKUP(C3067,'Vendor Master'!$A$6:$A$15,'Vendor Master'!$B$6:$B$15,""),"")</f>
        <v/>
      </c>
      <c r="J3067">
        <f>IF(A3067="","",TEXT(A3067,"mmm-yyyy"))</f>
        <v/>
      </c>
    </row>
    <row r="3068">
      <c r="D3068">
        <f>IFERROR(XLOOKUP(C3068,'Vendor Master'!$A$6:$A$15,'Vendor Master'!$B$6:$B$15,""),"")</f>
        <v/>
      </c>
      <c r="J3068">
        <f>IF(A3068="","",TEXT(A3068,"mmm-yyyy"))</f>
        <v/>
      </c>
    </row>
    <row r="3069">
      <c r="D3069">
        <f>IFERROR(XLOOKUP(C3069,'Vendor Master'!$A$6:$A$15,'Vendor Master'!$B$6:$B$15,""),"")</f>
        <v/>
      </c>
      <c r="J3069">
        <f>IF(A3069="","",TEXT(A3069,"mmm-yyyy"))</f>
        <v/>
      </c>
    </row>
    <row r="3070">
      <c r="D3070">
        <f>IFERROR(XLOOKUP(C3070,'Vendor Master'!$A$6:$A$15,'Vendor Master'!$B$6:$B$15,""),"")</f>
        <v/>
      </c>
      <c r="J3070">
        <f>IF(A3070="","",TEXT(A3070,"mmm-yyyy"))</f>
        <v/>
      </c>
    </row>
    <row r="3071">
      <c r="D3071">
        <f>IFERROR(XLOOKUP(C3071,'Vendor Master'!$A$6:$A$15,'Vendor Master'!$B$6:$B$15,""),"")</f>
        <v/>
      </c>
      <c r="J3071">
        <f>IF(A3071="","",TEXT(A3071,"mmm-yyyy"))</f>
        <v/>
      </c>
    </row>
    <row r="3072">
      <c r="D3072">
        <f>IFERROR(XLOOKUP(C3072,'Vendor Master'!$A$6:$A$15,'Vendor Master'!$B$6:$B$15,""),"")</f>
        <v/>
      </c>
      <c r="J3072">
        <f>IF(A3072="","",TEXT(A3072,"mmm-yyyy"))</f>
        <v/>
      </c>
    </row>
    <row r="3073">
      <c r="D3073">
        <f>IFERROR(XLOOKUP(C3073,'Vendor Master'!$A$6:$A$15,'Vendor Master'!$B$6:$B$15,""),"")</f>
        <v/>
      </c>
      <c r="J3073">
        <f>IF(A3073="","",TEXT(A3073,"mmm-yyyy"))</f>
        <v/>
      </c>
    </row>
    <row r="3074">
      <c r="D3074">
        <f>IFERROR(XLOOKUP(C3074,'Vendor Master'!$A$6:$A$15,'Vendor Master'!$B$6:$B$15,""),"")</f>
        <v/>
      </c>
      <c r="J3074">
        <f>IF(A3074="","",TEXT(A3074,"mmm-yyyy"))</f>
        <v/>
      </c>
    </row>
    <row r="3075">
      <c r="D3075">
        <f>IFERROR(XLOOKUP(C3075,'Vendor Master'!$A$6:$A$15,'Vendor Master'!$B$6:$B$15,""),"")</f>
        <v/>
      </c>
      <c r="J3075">
        <f>IF(A3075="","",TEXT(A3075,"mmm-yyyy"))</f>
        <v/>
      </c>
    </row>
    <row r="3076">
      <c r="D3076">
        <f>IFERROR(XLOOKUP(C3076,'Vendor Master'!$A$6:$A$15,'Vendor Master'!$B$6:$B$15,""),"")</f>
        <v/>
      </c>
      <c r="J3076">
        <f>IF(A3076="","",TEXT(A3076,"mmm-yyyy"))</f>
        <v/>
      </c>
    </row>
    <row r="3077">
      <c r="D3077">
        <f>IFERROR(XLOOKUP(C3077,'Vendor Master'!$A$6:$A$15,'Vendor Master'!$B$6:$B$15,""),"")</f>
        <v/>
      </c>
      <c r="J3077">
        <f>IF(A3077="","",TEXT(A3077,"mmm-yyyy"))</f>
        <v/>
      </c>
    </row>
    <row r="3078">
      <c r="D3078">
        <f>IFERROR(XLOOKUP(C3078,'Vendor Master'!$A$6:$A$15,'Vendor Master'!$B$6:$B$15,""),"")</f>
        <v/>
      </c>
      <c r="J3078">
        <f>IF(A3078="","",TEXT(A3078,"mmm-yyyy"))</f>
        <v/>
      </c>
    </row>
    <row r="3079">
      <c r="D3079">
        <f>IFERROR(XLOOKUP(C3079,'Vendor Master'!$A$6:$A$15,'Vendor Master'!$B$6:$B$15,""),"")</f>
        <v/>
      </c>
      <c r="J3079">
        <f>IF(A3079="","",TEXT(A3079,"mmm-yyyy"))</f>
        <v/>
      </c>
    </row>
    <row r="3080">
      <c r="D3080">
        <f>IFERROR(XLOOKUP(C3080,'Vendor Master'!$A$6:$A$15,'Vendor Master'!$B$6:$B$15,""),"")</f>
        <v/>
      </c>
      <c r="J3080">
        <f>IF(A3080="","",TEXT(A3080,"mmm-yyyy"))</f>
        <v/>
      </c>
    </row>
    <row r="3081">
      <c r="D3081">
        <f>IFERROR(XLOOKUP(C3081,'Vendor Master'!$A$6:$A$15,'Vendor Master'!$B$6:$B$15,""),"")</f>
        <v/>
      </c>
      <c r="J3081">
        <f>IF(A3081="","",TEXT(A3081,"mmm-yyyy"))</f>
        <v/>
      </c>
    </row>
    <row r="3082">
      <c r="D3082">
        <f>IFERROR(XLOOKUP(C3082,'Vendor Master'!$A$6:$A$15,'Vendor Master'!$B$6:$B$15,""),"")</f>
        <v/>
      </c>
      <c r="J3082">
        <f>IF(A3082="","",TEXT(A3082,"mmm-yyyy"))</f>
        <v/>
      </c>
    </row>
    <row r="3083">
      <c r="D3083">
        <f>IFERROR(XLOOKUP(C3083,'Vendor Master'!$A$6:$A$15,'Vendor Master'!$B$6:$B$15,""),"")</f>
        <v/>
      </c>
      <c r="J3083">
        <f>IF(A3083="","",TEXT(A3083,"mmm-yyyy"))</f>
        <v/>
      </c>
    </row>
    <row r="3084">
      <c r="D3084">
        <f>IFERROR(XLOOKUP(C3084,'Vendor Master'!$A$6:$A$15,'Vendor Master'!$B$6:$B$15,""),"")</f>
        <v/>
      </c>
      <c r="J3084">
        <f>IF(A3084="","",TEXT(A3084,"mmm-yyyy"))</f>
        <v/>
      </c>
    </row>
    <row r="3085">
      <c r="D3085">
        <f>IFERROR(XLOOKUP(C3085,'Vendor Master'!$A$6:$A$15,'Vendor Master'!$B$6:$B$15,""),"")</f>
        <v/>
      </c>
      <c r="J3085">
        <f>IF(A3085="","",TEXT(A3085,"mmm-yyyy"))</f>
        <v/>
      </c>
    </row>
    <row r="3086">
      <c r="D3086">
        <f>IFERROR(XLOOKUP(C3086,'Vendor Master'!$A$6:$A$15,'Vendor Master'!$B$6:$B$15,""),"")</f>
        <v/>
      </c>
      <c r="J3086">
        <f>IF(A3086="","",TEXT(A3086,"mmm-yyyy"))</f>
        <v/>
      </c>
    </row>
    <row r="3087">
      <c r="D3087">
        <f>IFERROR(XLOOKUP(C3087,'Vendor Master'!$A$6:$A$15,'Vendor Master'!$B$6:$B$15,""),"")</f>
        <v/>
      </c>
      <c r="J3087">
        <f>IF(A3087="","",TEXT(A3087,"mmm-yyyy"))</f>
        <v/>
      </c>
    </row>
    <row r="3088">
      <c r="D3088">
        <f>IFERROR(XLOOKUP(C3088,'Vendor Master'!$A$6:$A$15,'Vendor Master'!$B$6:$B$15,""),"")</f>
        <v/>
      </c>
      <c r="J3088">
        <f>IF(A3088="","",TEXT(A3088,"mmm-yyyy"))</f>
        <v/>
      </c>
    </row>
    <row r="3089">
      <c r="D3089">
        <f>IFERROR(XLOOKUP(C3089,'Vendor Master'!$A$6:$A$15,'Vendor Master'!$B$6:$B$15,""),"")</f>
        <v/>
      </c>
      <c r="J3089">
        <f>IF(A3089="","",TEXT(A3089,"mmm-yyyy"))</f>
        <v/>
      </c>
    </row>
    <row r="3090">
      <c r="D3090">
        <f>IFERROR(XLOOKUP(C3090,'Vendor Master'!$A$6:$A$15,'Vendor Master'!$B$6:$B$15,""),"")</f>
        <v/>
      </c>
      <c r="J3090">
        <f>IF(A3090="","",TEXT(A3090,"mmm-yyyy"))</f>
        <v/>
      </c>
    </row>
    <row r="3091">
      <c r="D3091">
        <f>IFERROR(XLOOKUP(C3091,'Vendor Master'!$A$6:$A$15,'Vendor Master'!$B$6:$B$15,""),"")</f>
        <v/>
      </c>
      <c r="J3091">
        <f>IF(A3091="","",TEXT(A3091,"mmm-yyyy"))</f>
        <v/>
      </c>
    </row>
    <row r="3092">
      <c r="D3092">
        <f>IFERROR(XLOOKUP(C3092,'Vendor Master'!$A$6:$A$15,'Vendor Master'!$B$6:$B$15,""),"")</f>
        <v/>
      </c>
      <c r="J3092">
        <f>IF(A3092="","",TEXT(A3092,"mmm-yyyy"))</f>
        <v/>
      </c>
    </row>
    <row r="3093">
      <c r="D3093">
        <f>IFERROR(XLOOKUP(C3093,'Vendor Master'!$A$6:$A$15,'Vendor Master'!$B$6:$B$15,""),"")</f>
        <v/>
      </c>
      <c r="J3093">
        <f>IF(A3093="","",TEXT(A3093,"mmm-yyyy"))</f>
        <v/>
      </c>
    </row>
    <row r="3094">
      <c r="D3094">
        <f>IFERROR(XLOOKUP(C3094,'Vendor Master'!$A$6:$A$15,'Vendor Master'!$B$6:$B$15,""),"")</f>
        <v/>
      </c>
      <c r="J3094">
        <f>IF(A3094="","",TEXT(A3094,"mmm-yyyy"))</f>
        <v/>
      </c>
    </row>
    <row r="3095">
      <c r="D3095">
        <f>IFERROR(XLOOKUP(C3095,'Vendor Master'!$A$6:$A$15,'Vendor Master'!$B$6:$B$15,""),"")</f>
        <v/>
      </c>
      <c r="J3095">
        <f>IF(A3095="","",TEXT(A3095,"mmm-yyyy"))</f>
        <v/>
      </c>
    </row>
    <row r="3096">
      <c r="D3096">
        <f>IFERROR(XLOOKUP(C3096,'Vendor Master'!$A$6:$A$15,'Vendor Master'!$B$6:$B$15,""),"")</f>
        <v/>
      </c>
      <c r="J3096">
        <f>IF(A3096="","",TEXT(A3096,"mmm-yyyy"))</f>
        <v/>
      </c>
    </row>
    <row r="3097">
      <c r="D3097">
        <f>IFERROR(XLOOKUP(C3097,'Vendor Master'!$A$6:$A$15,'Vendor Master'!$B$6:$B$15,""),"")</f>
        <v/>
      </c>
      <c r="J3097">
        <f>IF(A3097="","",TEXT(A3097,"mmm-yyyy"))</f>
        <v/>
      </c>
    </row>
    <row r="3098">
      <c r="D3098">
        <f>IFERROR(XLOOKUP(C3098,'Vendor Master'!$A$6:$A$15,'Vendor Master'!$B$6:$B$15,""),"")</f>
        <v/>
      </c>
      <c r="J3098">
        <f>IF(A3098="","",TEXT(A3098,"mmm-yyyy"))</f>
        <v/>
      </c>
    </row>
    <row r="3099">
      <c r="D3099">
        <f>IFERROR(XLOOKUP(C3099,'Vendor Master'!$A$6:$A$15,'Vendor Master'!$B$6:$B$15,""),"")</f>
        <v/>
      </c>
      <c r="J3099">
        <f>IF(A3099="","",TEXT(A3099,"mmm-yyyy"))</f>
        <v/>
      </c>
    </row>
    <row r="3100">
      <c r="D3100">
        <f>IFERROR(XLOOKUP(C3100,'Vendor Master'!$A$6:$A$15,'Vendor Master'!$B$6:$B$15,""),"")</f>
        <v/>
      </c>
      <c r="J3100">
        <f>IF(A3100="","",TEXT(A3100,"mmm-yyyy"))</f>
        <v/>
      </c>
    </row>
    <row r="3101">
      <c r="D3101">
        <f>IFERROR(XLOOKUP(C3101,'Vendor Master'!$A$6:$A$15,'Vendor Master'!$B$6:$B$15,""),"")</f>
        <v/>
      </c>
      <c r="J3101">
        <f>IF(A3101="","",TEXT(A3101,"mmm-yyyy"))</f>
        <v/>
      </c>
    </row>
    <row r="3102">
      <c r="D3102">
        <f>IFERROR(XLOOKUP(C3102,'Vendor Master'!$A$6:$A$15,'Vendor Master'!$B$6:$B$15,""),"")</f>
        <v/>
      </c>
      <c r="J3102">
        <f>IF(A3102="","",TEXT(A3102,"mmm-yyyy"))</f>
        <v/>
      </c>
    </row>
    <row r="3103">
      <c r="D3103">
        <f>IFERROR(XLOOKUP(C3103,'Vendor Master'!$A$6:$A$15,'Vendor Master'!$B$6:$B$15,""),"")</f>
        <v/>
      </c>
      <c r="J3103">
        <f>IF(A3103="","",TEXT(A3103,"mmm-yyyy"))</f>
        <v/>
      </c>
    </row>
    <row r="3104">
      <c r="D3104">
        <f>IFERROR(XLOOKUP(C3104,'Vendor Master'!$A$6:$A$15,'Vendor Master'!$B$6:$B$15,""),"")</f>
        <v/>
      </c>
      <c r="J3104">
        <f>IF(A3104="","",TEXT(A3104,"mmm-yyyy"))</f>
        <v/>
      </c>
    </row>
    <row r="3105">
      <c r="D3105">
        <f>IFERROR(XLOOKUP(C3105,'Vendor Master'!$A$6:$A$15,'Vendor Master'!$B$6:$B$15,""),"")</f>
        <v/>
      </c>
      <c r="J3105">
        <f>IF(A3105="","",TEXT(A3105,"mmm-yyyy"))</f>
        <v/>
      </c>
    </row>
    <row r="3106">
      <c r="D3106">
        <f>IFERROR(XLOOKUP(C3106,'Vendor Master'!$A$6:$A$15,'Vendor Master'!$B$6:$B$15,""),"")</f>
        <v/>
      </c>
      <c r="J3106">
        <f>IF(A3106="","",TEXT(A3106,"mmm-yyyy"))</f>
        <v/>
      </c>
    </row>
    <row r="3107">
      <c r="D3107">
        <f>IFERROR(XLOOKUP(C3107,'Vendor Master'!$A$6:$A$15,'Vendor Master'!$B$6:$B$15,""),"")</f>
        <v/>
      </c>
      <c r="J3107">
        <f>IF(A3107="","",TEXT(A3107,"mmm-yyyy"))</f>
        <v/>
      </c>
    </row>
    <row r="3108">
      <c r="D3108">
        <f>IFERROR(XLOOKUP(C3108,'Vendor Master'!$A$6:$A$15,'Vendor Master'!$B$6:$B$15,""),"")</f>
        <v/>
      </c>
      <c r="J3108">
        <f>IF(A3108="","",TEXT(A3108,"mmm-yyyy"))</f>
        <v/>
      </c>
    </row>
    <row r="3109">
      <c r="D3109">
        <f>IFERROR(XLOOKUP(C3109,'Vendor Master'!$A$6:$A$15,'Vendor Master'!$B$6:$B$15,""),"")</f>
        <v/>
      </c>
      <c r="J3109">
        <f>IF(A3109="","",TEXT(A3109,"mmm-yyyy"))</f>
        <v/>
      </c>
    </row>
    <row r="3110">
      <c r="D3110">
        <f>IFERROR(XLOOKUP(C3110,'Vendor Master'!$A$6:$A$15,'Vendor Master'!$B$6:$B$15,""),"")</f>
        <v/>
      </c>
      <c r="J3110">
        <f>IF(A3110="","",TEXT(A3110,"mmm-yyyy"))</f>
        <v/>
      </c>
    </row>
    <row r="3111">
      <c r="D3111">
        <f>IFERROR(XLOOKUP(C3111,'Vendor Master'!$A$6:$A$15,'Vendor Master'!$B$6:$B$15,""),"")</f>
        <v/>
      </c>
      <c r="J3111">
        <f>IF(A3111="","",TEXT(A3111,"mmm-yyyy"))</f>
        <v/>
      </c>
    </row>
    <row r="3112">
      <c r="D3112">
        <f>IFERROR(XLOOKUP(C3112,'Vendor Master'!$A$6:$A$15,'Vendor Master'!$B$6:$B$15,""),"")</f>
        <v/>
      </c>
      <c r="J3112">
        <f>IF(A3112="","",TEXT(A3112,"mmm-yyyy"))</f>
        <v/>
      </c>
    </row>
    <row r="3113">
      <c r="D3113">
        <f>IFERROR(XLOOKUP(C3113,'Vendor Master'!$A$6:$A$15,'Vendor Master'!$B$6:$B$15,""),"")</f>
        <v/>
      </c>
      <c r="J3113">
        <f>IF(A3113="","",TEXT(A3113,"mmm-yyyy"))</f>
        <v/>
      </c>
    </row>
    <row r="3114">
      <c r="D3114">
        <f>IFERROR(XLOOKUP(C3114,'Vendor Master'!$A$6:$A$15,'Vendor Master'!$B$6:$B$15,""),"")</f>
        <v/>
      </c>
      <c r="J3114">
        <f>IF(A3114="","",TEXT(A3114,"mmm-yyyy"))</f>
        <v/>
      </c>
    </row>
    <row r="3115">
      <c r="D3115">
        <f>IFERROR(XLOOKUP(C3115,'Vendor Master'!$A$6:$A$15,'Vendor Master'!$B$6:$B$15,""),"")</f>
        <v/>
      </c>
      <c r="J3115">
        <f>IF(A3115="","",TEXT(A3115,"mmm-yyyy"))</f>
        <v/>
      </c>
    </row>
    <row r="3116">
      <c r="D3116">
        <f>IFERROR(XLOOKUP(C3116,'Vendor Master'!$A$6:$A$15,'Vendor Master'!$B$6:$B$15,""),"")</f>
        <v/>
      </c>
      <c r="J3116">
        <f>IF(A3116="","",TEXT(A3116,"mmm-yyyy"))</f>
        <v/>
      </c>
    </row>
    <row r="3117">
      <c r="D3117">
        <f>IFERROR(XLOOKUP(C3117,'Vendor Master'!$A$6:$A$15,'Vendor Master'!$B$6:$B$15,""),"")</f>
        <v/>
      </c>
      <c r="J3117">
        <f>IF(A3117="","",TEXT(A3117,"mmm-yyyy"))</f>
        <v/>
      </c>
    </row>
    <row r="3118">
      <c r="D3118">
        <f>IFERROR(XLOOKUP(C3118,'Vendor Master'!$A$6:$A$15,'Vendor Master'!$B$6:$B$15,""),"")</f>
        <v/>
      </c>
      <c r="J3118">
        <f>IF(A3118="","",TEXT(A3118,"mmm-yyyy"))</f>
        <v/>
      </c>
    </row>
    <row r="3119">
      <c r="D3119">
        <f>IFERROR(XLOOKUP(C3119,'Vendor Master'!$A$6:$A$15,'Vendor Master'!$B$6:$B$15,""),"")</f>
        <v/>
      </c>
      <c r="J3119">
        <f>IF(A3119="","",TEXT(A3119,"mmm-yyyy"))</f>
        <v/>
      </c>
    </row>
    <row r="3120">
      <c r="D3120">
        <f>IFERROR(XLOOKUP(C3120,'Vendor Master'!$A$6:$A$15,'Vendor Master'!$B$6:$B$15,""),"")</f>
        <v/>
      </c>
      <c r="J3120">
        <f>IF(A3120="","",TEXT(A3120,"mmm-yyyy"))</f>
        <v/>
      </c>
    </row>
    <row r="3121">
      <c r="D3121">
        <f>IFERROR(XLOOKUP(C3121,'Vendor Master'!$A$6:$A$15,'Vendor Master'!$B$6:$B$15,""),"")</f>
        <v/>
      </c>
      <c r="J3121">
        <f>IF(A3121="","",TEXT(A3121,"mmm-yyyy"))</f>
        <v/>
      </c>
    </row>
    <row r="3122">
      <c r="D3122">
        <f>IFERROR(XLOOKUP(C3122,'Vendor Master'!$A$6:$A$15,'Vendor Master'!$B$6:$B$15,""),"")</f>
        <v/>
      </c>
      <c r="J3122">
        <f>IF(A3122="","",TEXT(A3122,"mmm-yyyy"))</f>
        <v/>
      </c>
    </row>
    <row r="3123">
      <c r="D3123">
        <f>IFERROR(XLOOKUP(C3123,'Vendor Master'!$A$6:$A$15,'Vendor Master'!$B$6:$B$15,""),"")</f>
        <v/>
      </c>
      <c r="J3123">
        <f>IF(A3123="","",TEXT(A3123,"mmm-yyyy"))</f>
        <v/>
      </c>
    </row>
    <row r="3124">
      <c r="D3124">
        <f>IFERROR(XLOOKUP(C3124,'Vendor Master'!$A$6:$A$15,'Vendor Master'!$B$6:$B$15,""),"")</f>
        <v/>
      </c>
      <c r="J3124">
        <f>IF(A3124="","",TEXT(A3124,"mmm-yyyy"))</f>
        <v/>
      </c>
    </row>
    <row r="3125">
      <c r="D3125">
        <f>IFERROR(XLOOKUP(C3125,'Vendor Master'!$A$6:$A$15,'Vendor Master'!$B$6:$B$15,""),"")</f>
        <v/>
      </c>
      <c r="J3125">
        <f>IF(A3125="","",TEXT(A3125,"mmm-yyyy"))</f>
        <v/>
      </c>
    </row>
    <row r="3126">
      <c r="D3126">
        <f>IFERROR(XLOOKUP(C3126,'Vendor Master'!$A$6:$A$15,'Vendor Master'!$B$6:$B$15,""),"")</f>
        <v/>
      </c>
      <c r="J3126">
        <f>IF(A3126="","",TEXT(A3126,"mmm-yyyy"))</f>
        <v/>
      </c>
    </row>
    <row r="3127">
      <c r="D3127">
        <f>IFERROR(XLOOKUP(C3127,'Vendor Master'!$A$6:$A$15,'Vendor Master'!$B$6:$B$15,""),"")</f>
        <v/>
      </c>
      <c r="J3127">
        <f>IF(A3127="","",TEXT(A3127,"mmm-yyyy"))</f>
        <v/>
      </c>
    </row>
    <row r="3128">
      <c r="D3128">
        <f>IFERROR(XLOOKUP(C3128,'Vendor Master'!$A$6:$A$15,'Vendor Master'!$B$6:$B$15,""),"")</f>
        <v/>
      </c>
      <c r="J3128">
        <f>IF(A3128="","",TEXT(A3128,"mmm-yyyy"))</f>
        <v/>
      </c>
    </row>
    <row r="3129">
      <c r="D3129">
        <f>IFERROR(XLOOKUP(C3129,'Vendor Master'!$A$6:$A$15,'Vendor Master'!$B$6:$B$15,""),"")</f>
        <v/>
      </c>
      <c r="J3129">
        <f>IF(A3129="","",TEXT(A3129,"mmm-yyyy"))</f>
        <v/>
      </c>
    </row>
    <row r="3130">
      <c r="D3130">
        <f>IFERROR(XLOOKUP(C3130,'Vendor Master'!$A$6:$A$15,'Vendor Master'!$B$6:$B$15,""),"")</f>
        <v/>
      </c>
      <c r="J3130">
        <f>IF(A3130="","",TEXT(A3130,"mmm-yyyy"))</f>
        <v/>
      </c>
    </row>
    <row r="3131">
      <c r="D3131">
        <f>IFERROR(XLOOKUP(C3131,'Vendor Master'!$A$6:$A$15,'Vendor Master'!$B$6:$B$15,""),"")</f>
        <v/>
      </c>
      <c r="J3131">
        <f>IF(A3131="","",TEXT(A3131,"mmm-yyyy"))</f>
        <v/>
      </c>
    </row>
    <row r="3132">
      <c r="D3132">
        <f>IFERROR(XLOOKUP(C3132,'Vendor Master'!$A$6:$A$15,'Vendor Master'!$B$6:$B$15,""),"")</f>
        <v/>
      </c>
      <c r="J3132">
        <f>IF(A3132="","",TEXT(A3132,"mmm-yyyy"))</f>
        <v/>
      </c>
    </row>
    <row r="3133">
      <c r="D3133">
        <f>IFERROR(XLOOKUP(C3133,'Vendor Master'!$A$6:$A$15,'Vendor Master'!$B$6:$B$15,""),"")</f>
        <v/>
      </c>
      <c r="J3133">
        <f>IF(A3133="","",TEXT(A3133,"mmm-yyyy"))</f>
        <v/>
      </c>
    </row>
    <row r="3134">
      <c r="D3134">
        <f>IFERROR(XLOOKUP(C3134,'Vendor Master'!$A$6:$A$15,'Vendor Master'!$B$6:$B$15,""),"")</f>
        <v/>
      </c>
      <c r="J3134">
        <f>IF(A3134="","",TEXT(A3134,"mmm-yyyy"))</f>
        <v/>
      </c>
    </row>
    <row r="3135">
      <c r="D3135">
        <f>IFERROR(XLOOKUP(C3135,'Vendor Master'!$A$6:$A$15,'Vendor Master'!$B$6:$B$15,""),"")</f>
        <v/>
      </c>
      <c r="J3135">
        <f>IF(A3135="","",TEXT(A3135,"mmm-yyyy"))</f>
        <v/>
      </c>
    </row>
    <row r="3136">
      <c r="D3136">
        <f>IFERROR(XLOOKUP(C3136,'Vendor Master'!$A$6:$A$15,'Vendor Master'!$B$6:$B$15,""),"")</f>
        <v/>
      </c>
      <c r="J3136">
        <f>IF(A3136="","",TEXT(A3136,"mmm-yyyy"))</f>
        <v/>
      </c>
    </row>
    <row r="3137">
      <c r="D3137">
        <f>IFERROR(XLOOKUP(C3137,'Vendor Master'!$A$6:$A$15,'Vendor Master'!$B$6:$B$15,""),"")</f>
        <v/>
      </c>
      <c r="J3137">
        <f>IF(A3137="","",TEXT(A3137,"mmm-yyyy"))</f>
        <v/>
      </c>
    </row>
    <row r="3138">
      <c r="D3138">
        <f>IFERROR(XLOOKUP(C3138,'Vendor Master'!$A$6:$A$15,'Vendor Master'!$B$6:$B$15,""),"")</f>
        <v/>
      </c>
      <c r="J3138">
        <f>IF(A3138="","",TEXT(A3138,"mmm-yyyy"))</f>
        <v/>
      </c>
    </row>
    <row r="3139">
      <c r="D3139">
        <f>IFERROR(XLOOKUP(C3139,'Vendor Master'!$A$6:$A$15,'Vendor Master'!$B$6:$B$15,""),"")</f>
        <v/>
      </c>
      <c r="J3139">
        <f>IF(A3139="","",TEXT(A3139,"mmm-yyyy"))</f>
        <v/>
      </c>
    </row>
    <row r="3140">
      <c r="D3140">
        <f>IFERROR(XLOOKUP(C3140,'Vendor Master'!$A$6:$A$15,'Vendor Master'!$B$6:$B$15,""),"")</f>
        <v/>
      </c>
      <c r="J3140">
        <f>IF(A3140="","",TEXT(A3140,"mmm-yyyy"))</f>
        <v/>
      </c>
    </row>
    <row r="3141">
      <c r="D3141">
        <f>IFERROR(XLOOKUP(C3141,'Vendor Master'!$A$6:$A$15,'Vendor Master'!$B$6:$B$15,""),"")</f>
        <v/>
      </c>
      <c r="J3141">
        <f>IF(A3141="","",TEXT(A3141,"mmm-yyyy"))</f>
        <v/>
      </c>
    </row>
    <row r="3142">
      <c r="D3142">
        <f>IFERROR(XLOOKUP(C3142,'Vendor Master'!$A$6:$A$15,'Vendor Master'!$B$6:$B$15,""),"")</f>
        <v/>
      </c>
      <c r="J3142">
        <f>IF(A3142="","",TEXT(A3142,"mmm-yyyy"))</f>
        <v/>
      </c>
    </row>
    <row r="3143">
      <c r="D3143">
        <f>IFERROR(XLOOKUP(C3143,'Vendor Master'!$A$6:$A$15,'Vendor Master'!$B$6:$B$15,""),"")</f>
        <v/>
      </c>
      <c r="J3143">
        <f>IF(A3143="","",TEXT(A3143,"mmm-yyyy"))</f>
        <v/>
      </c>
    </row>
    <row r="3144">
      <c r="D3144">
        <f>IFERROR(XLOOKUP(C3144,'Vendor Master'!$A$6:$A$15,'Vendor Master'!$B$6:$B$15,""),"")</f>
        <v/>
      </c>
      <c r="J3144">
        <f>IF(A3144="","",TEXT(A3144,"mmm-yyyy"))</f>
        <v/>
      </c>
    </row>
    <row r="3145">
      <c r="D3145">
        <f>IFERROR(XLOOKUP(C3145,'Vendor Master'!$A$6:$A$15,'Vendor Master'!$B$6:$B$15,""),"")</f>
        <v/>
      </c>
      <c r="J3145">
        <f>IF(A3145="","",TEXT(A3145,"mmm-yyyy"))</f>
        <v/>
      </c>
    </row>
    <row r="3146">
      <c r="D3146">
        <f>IFERROR(XLOOKUP(C3146,'Vendor Master'!$A$6:$A$15,'Vendor Master'!$B$6:$B$15,""),"")</f>
        <v/>
      </c>
      <c r="J3146">
        <f>IF(A3146="","",TEXT(A3146,"mmm-yyyy"))</f>
        <v/>
      </c>
    </row>
    <row r="3147">
      <c r="D3147">
        <f>IFERROR(XLOOKUP(C3147,'Vendor Master'!$A$6:$A$15,'Vendor Master'!$B$6:$B$15,""),"")</f>
        <v/>
      </c>
      <c r="J3147">
        <f>IF(A3147="","",TEXT(A3147,"mmm-yyyy"))</f>
        <v/>
      </c>
    </row>
    <row r="3148">
      <c r="D3148">
        <f>IFERROR(XLOOKUP(C3148,'Vendor Master'!$A$6:$A$15,'Vendor Master'!$B$6:$B$15,""),"")</f>
        <v/>
      </c>
      <c r="J3148">
        <f>IF(A3148="","",TEXT(A3148,"mmm-yyyy"))</f>
        <v/>
      </c>
    </row>
    <row r="3149">
      <c r="D3149">
        <f>IFERROR(XLOOKUP(C3149,'Vendor Master'!$A$6:$A$15,'Vendor Master'!$B$6:$B$15,""),"")</f>
        <v/>
      </c>
      <c r="J3149">
        <f>IF(A3149="","",TEXT(A3149,"mmm-yyyy"))</f>
        <v/>
      </c>
    </row>
    <row r="3150">
      <c r="D3150">
        <f>IFERROR(XLOOKUP(C3150,'Vendor Master'!$A$6:$A$15,'Vendor Master'!$B$6:$B$15,""),"")</f>
        <v/>
      </c>
      <c r="J3150">
        <f>IF(A3150="","",TEXT(A3150,"mmm-yyyy"))</f>
        <v/>
      </c>
    </row>
    <row r="3151">
      <c r="D3151">
        <f>IFERROR(XLOOKUP(C3151,'Vendor Master'!$A$6:$A$15,'Vendor Master'!$B$6:$B$15,""),"")</f>
        <v/>
      </c>
      <c r="J3151">
        <f>IF(A3151="","",TEXT(A3151,"mmm-yyyy"))</f>
        <v/>
      </c>
    </row>
    <row r="3152">
      <c r="D3152">
        <f>IFERROR(XLOOKUP(C3152,'Vendor Master'!$A$6:$A$15,'Vendor Master'!$B$6:$B$15,""),"")</f>
        <v/>
      </c>
      <c r="J3152">
        <f>IF(A3152="","",TEXT(A3152,"mmm-yyyy"))</f>
        <v/>
      </c>
    </row>
    <row r="3153">
      <c r="D3153">
        <f>IFERROR(XLOOKUP(C3153,'Vendor Master'!$A$6:$A$15,'Vendor Master'!$B$6:$B$15,""),"")</f>
        <v/>
      </c>
      <c r="J3153">
        <f>IF(A3153="","",TEXT(A3153,"mmm-yyyy"))</f>
        <v/>
      </c>
    </row>
    <row r="3154">
      <c r="D3154">
        <f>IFERROR(XLOOKUP(C3154,'Vendor Master'!$A$6:$A$15,'Vendor Master'!$B$6:$B$15,""),"")</f>
        <v/>
      </c>
      <c r="J3154">
        <f>IF(A3154="","",TEXT(A3154,"mmm-yyyy"))</f>
        <v/>
      </c>
    </row>
    <row r="3155">
      <c r="D3155">
        <f>IFERROR(XLOOKUP(C3155,'Vendor Master'!$A$6:$A$15,'Vendor Master'!$B$6:$B$15,""),"")</f>
        <v/>
      </c>
      <c r="J3155">
        <f>IF(A3155="","",TEXT(A3155,"mmm-yyyy"))</f>
        <v/>
      </c>
    </row>
    <row r="3156">
      <c r="D3156">
        <f>IFERROR(XLOOKUP(C3156,'Vendor Master'!$A$6:$A$15,'Vendor Master'!$B$6:$B$15,""),"")</f>
        <v/>
      </c>
      <c r="J3156">
        <f>IF(A3156="","",TEXT(A3156,"mmm-yyyy"))</f>
        <v/>
      </c>
    </row>
    <row r="3157">
      <c r="D3157">
        <f>IFERROR(XLOOKUP(C3157,'Vendor Master'!$A$6:$A$15,'Vendor Master'!$B$6:$B$15,""),"")</f>
        <v/>
      </c>
      <c r="J3157">
        <f>IF(A3157="","",TEXT(A3157,"mmm-yyyy"))</f>
        <v/>
      </c>
    </row>
    <row r="3158">
      <c r="D3158">
        <f>IFERROR(XLOOKUP(C3158,'Vendor Master'!$A$6:$A$15,'Vendor Master'!$B$6:$B$15,""),"")</f>
        <v/>
      </c>
      <c r="J3158">
        <f>IF(A3158="","",TEXT(A3158,"mmm-yyyy"))</f>
        <v/>
      </c>
    </row>
    <row r="3159">
      <c r="D3159">
        <f>IFERROR(XLOOKUP(C3159,'Vendor Master'!$A$6:$A$15,'Vendor Master'!$B$6:$B$15,""),"")</f>
        <v/>
      </c>
      <c r="J3159">
        <f>IF(A3159="","",TEXT(A3159,"mmm-yyyy"))</f>
        <v/>
      </c>
    </row>
    <row r="3160">
      <c r="D3160">
        <f>IFERROR(XLOOKUP(C3160,'Vendor Master'!$A$6:$A$15,'Vendor Master'!$B$6:$B$15,""),"")</f>
        <v/>
      </c>
      <c r="J3160">
        <f>IF(A3160="","",TEXT(A3160,"mmm-yyyy"))</f>
        <v/>
      </c>
    </row>
    <row r="3161">
      <c r="D3161">
        <f>IFERROR(XLOOKUP(C3161,'Vendor Master'!$A$6:$A$15,'Vendor Master'!$B$6:$B$15,""),"")</f>
        <v/>
      </c>
      <c r="J3161">
        <f>IF(A3161="","",TEXT(A3161,"mmm-yyyy"))</f>
        <v/>
      </c>
    </row>
    <row r="3162">
      <c r="D3162">
        <f>IFERROR(XLOOKUP(C3162,'Vendor Master'!$A$6:$A$15,'Vendor Master'!$B$6:$B$15,""),"")</f>
        <v/>
      </c>
      <c r="J3162">
        <f>IF(A3162="","",TEXT(A3162,"mmm-yyyy"))</f>
        <v/>
      </c>
    </row>
    <row r="3163">
      <c r="D3163">
        <f>IFERROR(XLOOKUP(C3163,'Vendor Master'!$A$6:$A$15,'Vendor Master'!$B$6:$B$15,""),"")</f>
        <v/>
      </c>
      <c r="J3163">
        <f>IF(A3163="","",TEXT(A3163,"mmm-yyyy"))</f>
        <v/>
      </c>
    </row>
    <row r="3164">
      <c r="D3164">
        <f>IFERROR(XLOOKUP(C3164,'Vendor Master'!$A$6:$A$15,'Vendor Master'!$B$6:$B$15,""),"")</f>
        <v/>
      </c>
      <c r="J3164">
        <f>IF(A3164="","",TEXT(A3164,"mmm-yyyy"))</f>
        <v/>
      </c>
    </row>
    <row r="3165">
      <c r="D3165">
        <f>IFERROR(XLOOKUP(C3165,'Vendor Master'!$A$6:$A$15,'Vendor Master'!$B$6:$B$15,""),"")</f>
        <v/>
      </c>
      <c r="J3165">
        <f>IF(A3165="","",TEXT(A3165,"mmm-yyyy"))</f>
        <v/>
      </c>
    </row>
    <row r="3166">
      <c r="D3166">
        <f>IFERROR(XLOOKUP(C3166,'Vendor Master'!$A$6:$A$15,'Vendor Master'!$B$6:$B$15,""),"")</f>
        <v/>
      </c>
      <c r="J3166">
        <f>IF(A3166="","",TEXT(A3166,"mmm-yyyy"))</f>
        <v/>
      </c>
    </row>
    <row r="3167">
      <c r="D3167">
        <f>IFERROR(XLOOKUP(C3167,'Vendor Master'!$A$6:$A$15,'Vendor Master'!$B$6:$B$15,""),"")</f>
        <v/>
      </c>
      <c r="J3167">
        <f>IF(A3167="","",TEXT(A3167,"mmm-yyyy"))</f>
        <v/>
      </c>
    </row>
    <row r="3168">
      <c r="D3168">
        <f>IFERROR(XLOOKUP(C3168,'Vendor Master'!$A$6:$A$15,'Vendor Master'!$B$6:$B$15,""),"")</f>
        <v/>
      </c>
      <c r="J3168">
        <f>IF(A3168="","",TEXT(A3168,"mmm-yyyy"))</f>
        <v/>
      </c>
    </row>
    <row r="3169">
      <c r="D3169">
        <f>IFERROR(XLOOKUP(C3169,'Vendor Master'!$A$6:$A$15,'Vendor Master'!$B$6:$B$15,""),"")</f>
        <v/>
      </c>
      <c r="J3169">
        <f>IF(A3169="","",TEXT(A3169,"mmm-yyyy"))</f>
        <v/>
      </c>
    </row>
    <row r="3170">
      <c r="D3170">
        <f>IFERROR(XLOOKUP(C3170,'Vendor Master'!$A$6:$A$15,'Vendor Master'!$B$6:$B$15,""),"")</f>
        <v/>
      </c>
      <c r="J3170">
        <f>IF(A3170="","",TEXT(A3170,"mmm-yyyy"))</f>
        <v/>
      </c>
    </row>
    <row r="3171">
      <c r="D3171">
        <f>IFERROR(XLOOKUP(C3171,'Vendor Master'!$A$6:$A$15,'Vendor Master'!$B$6:$B$15,""),"")</f>
        <v/>
      </c>
      <c r="J3171">
        <f>IF(A3171="","",TEXT(A3171,"mmm-yyyy"))</f>
        <v/>
      </c>
    </row>
    <row r="3172">
      <c r="D3172">
        <f>IFERROR(XLOOKUP(C3172,'Vendor Master'!$A$6:$A$15,'Vendor Master'!$B$6:$B$15,""),"")</f>
        <v/>
      </c>
      <c r="J3172">
        <f>IF(A3172="","",TEXT(A3172,"mmm-yyyy"))</f>
        <v/>
      </c>
    </row>
    <row r="3173">
      <c r="D3173">
        <f>IFERROR(XLOOKUP(C3173,'Vendor Master'!$A$6:$A$15,'Vendor Master'!$B$6:$B$15,""),"")</f>
        <v/>
      </c>
      <c r="J3173">
        <f>IF(A3173="","",TEXT(A3173,"mmm-yyyy"))</f>
        <v/>
      </c>
    </row>
    <row r="3174">
      <c r="D3174">
        <f>IFERROR(XLOOKUP(C3174,'Vendor Master'!$A$6:$A$15,'Vendor Master'!$B$6:$B$15,""),"")</f>
        <v/>
      </c>
      <c r="J3174">
        <f>IF(A3174="","",TEXT(A3174,"mmm-yyyy"))</f>
        <v/>
      </c>
    </row>
    <row r="3175">
      <c r="D3175">
        <f>IFERROR(XLOOKUP(C3175,'Vendor Master'!$A$6:$A$15,'Vendor Master'!$B$6:$B$15,""),"")</f>
        <v/>
      </c>
      <c r="J3175">
        <f>IF(A3175="","",TEXT(A3175,"mmm-yyyy"))</f>
        <v/>
      </c>
    </row>
    <row r="3176">
      <c r="D3176">
        <f>IFERROR(XLOOKUP(C3176,'Vendor Master'!$A$6:$A$15,'Vendor Master'!$B$6:$B$15,""),"")</f>
        <v/>
      </c>
      <c r="J3176">
        <f>IF(A3176="","",TEXT(A3176,"mmm-yyyy"))</f>
        <v/>
      </c>
    </row>
    <row r="3177">
      <c r="D3177">
        <f>IFERROR(XLOOKUP(C3177,'Vendor Master'!$A$6:$A$15,'Vendor Master'!$B$6:$B$15,""),"")</f>
        <v/>
      </c>
      <c r="J3177">
        <f>IF(A3177="","",TEXT(A3177,"mmm-yyyy"))</f>
        <v/>
      </c>
    </row>
    <row r="3178">
      <c r="D3178">
        <f>IFERROR(XLOOKUP(C3178,'Vendor Master'!$A$6:$A$15,'Vendor Master'!$B$6:$B$15,""),"")</f>
        <v/>
      </c>
      <c r="J3178">
        <f>IF(A3178="","",TEXT(A3178,"mmm-yyyy"))</f>
        <v/>
      </c>
    </row>
    <row r="3179">
      <c r="D3179">
        <f>IFERROR(XLOOKUP(C3179,'Vendor Master'!$A$6:$A$15,'Vendor Master'!$B$6:$B$15,""),"")</f>
        <v/>
      </c>
      <c r="J3179">
        <f>IF(A3179="","",TEXT(A3179,"mmm-yyyy"))</f>
        <v/>
      </c>
    </row>
    <row r="3180">
      <c r="D3180">
        <f>IFERROR(XLOOKUP(C3180,'Vendor Master'!$A$6:$A$15,'Vendor Master'!$B$6:$B$15,""),"")</f>
        <v/>
      </c>
      <c r="J3180">
        <f>IF(A3180="","",TEXT(A3180,"mmm-yyyy"))</f>
        <v/>
      </c>
    </row>
    <row r="3181">
      <c r="D3181">
        <f>IFERROR(XLOOKUP(C3181,'Vendor Master'!$A$6:$A$15,'Vendor Master'!$B$6:$B$15,""),"")</f>
        <v/>
      </c>
      <c r="J3181">
        <f>IF(A3181="","",TEXT(A3181,"mmm-yyyy"))</f>
        <v/>
      </c>
    </row>
    <row r="3182">
      <c r="D3182">
        <f>IFERROR(XLOOKUP(C3182,'Vendor Master'!$A$6:$A$15,'Vendor Master'!$B$6:$B$15,""),"")</f>
        <v/>
      </c>
      <c r="J3182">
        <f>IF(A3182="","",TEXT(A3182,"mmm-yyyy"))</f>
        <v/>
      </c>
    </row>
    <row r="3183">
      <c r="D3183">
        <f>IFERROR(XLOOKUP(C3183,'Vendor Master'!$A$6:$A$15,'Vendor Master'!$B$6:$B$15,""),"")</f>
        <v/>
      </c>
      <c r="J3183">
        <f>IF(A3183="","",TEXT(A3183,"mmm-yyyy"))</f>
        <v/>
      </c>
    </row>
    <row r="3184">
      <c r="D3184">
        <f>IFERROR(XLOOKUP(C3184,'Vendor Master'!$A$6:$A$15,'Vendor Master'!$B$6:$B$15,""),"")</f>
        <v/>
      </c>
      <c r="J3184">
        <f>IF(A3184="","",TEXT(A3184,"mmm-yyyy"))</f>
        <v/>
      </c>
    </row>
    <row r="3185">
      <c r="D3185">
        <f>IFERROR(XLOOKUP(C3185,'Vendor Master'!$A$6:$A$15,'Vendor Master'!$B$6:$B$15,""),"")</f>
        <v/>
      </c>
      <c r="J3185">
        <f>IF(A3185="","",TEXT(A3185,"mmm-yyyy"))</f>
        <v/>
      </c>
    </row>
    <row r="3186">
      <c r="D3186">
        <f>IFERROR(XLOOKUP(C3186,'Vendor Master'!$A$6:$A$15,'Vendor Master'!$B$6:$B$15,""),"")</f>
        <v/>
      </c>
      <c r="J3186">
        <f>IF(A3186="","",TEXT(A3186,"mmm-yyyy"))</f>
        <v/>
      </c>
    </row>
    <row r="3187">
      <c r="D3187">
        <f>IFERROR(XLOOKUP(C3187,'Vendor Master'!$A$6:$A$15,'Vendor Master'!$B$6:$B$15,""),"")</f>
        <v/>
      </c>
      <c r="J3187">
        <f>IF(A3187="","",TEXT(A3187,"mmm-yyyy"))</f>
        <v/>
      </c>
    </row>
    <row r="3188">
      <c r="D3188">
        <f>IFERROR(XLOOKUP(C3188,'Vendor Master'!$A$6:$A$15,'Vendor Master'!$B$6:$B$15,""),"")</f>
        <v/>
      </c>
      <c r="J3188">
        <f>IF(A3188="","",TEXT(A3188,"mmm-yyyy"))</f>
        <v/>
      </c>
    </row>
    <row r="3189">
      <c r="D3189">
        <f>IFERROR(XLOOKUP(C3189,'Vendor Master'!$A$6:$A$15,'Vendor Master'!$B$6:$B$15,""),"")</f>
        <v/>
      </c>
      <c r="J3189">
        <f>IF(A3189="","",TEXT(A3189,"mmm-yyyy"))</f>
        <v/>
      </c>
    </row>
    <row r="3190">
      <c r="D3190">
        <f>IFERROR(XLOOKUP(C3190,'Vendor Master'!$A$6:$A$15,'Vendor Master'!$B$6:$B$15,""),"")</f>
        <v/>
      </c>
      <c r="J3190">
        <f>IF(A3190="","",TEXT(A3190,"mmm-yyyy"))</f>
        <v/>
      </c>
    </row>
    <row r="3191">
      <c r="D3191">
        <f>IFERROR(XLOOKUP(C3191,'Vendor Master'!$A$6:$A$15,'Vendor Master'!$B$6:$B$15,""),"")</f>
        <v/>
      </c>
      <c r="J3191">
        <f>IF(A3191="","",TEXT(A3191,"mmm-yyyy"))</f>
        <v/>
      </c>
    </row>
    <row r="3192">
      <c r="D3192">
        <f>IFERROR(XLOOKUP(C3192,'Vendor Master'!$A$6:$A$15,'Vendor Master'!$B$6:$B$15,""),"")</f>
        <v/>
      </c>
      <c r="J3192">
        <f>IF(A3192="","",TEXT(A3192,"mmm-yyyy"))</f>
        <v/>
      </c>
    </row>
    <row r="3193">
      <c r="D3193">
        <f>IFERROR(XLOOKUP(C3193,'Vendor Master'!$A$6:$A$15,'Vendor Master'!$B$6:$B$15,""),"")</f>
        <v/>
      </c>
      <c r="J3193">
        <f>IF(A3193="","",TEXT(A3193,"mmm-yyyy"))</f>
        <v/>
      </c>
    </row>
    <row r="3194">
      <c r="D3194">
        <f>IFERROR(XLOOKUP(C3194,'Vendor Master'!$A$6:$A$15,'Vendor Master'!$B$6:$B$15,""),"")</f>
        <v/>
      </c>
      <c r="J3194">
        <f>IF(A3194="","",TEXT(A3194,"mmm-yyyy"))</f>
        <v/>
      </c>
    </row>
    <row r="3195">
      <c r="D3195">
        <f>IFERROR(XLOOKUP(C3195,'Vendor Master'!$A$6:$A$15,'Vendor Master'!$B$6:$B$15,""),"")</f>
        <v/>
      </c>
      <c r="J3195">
        <f>IF(A3195="","",TEXT(A3195,"mmm-yyyy"))</f>
        <v/>
      </c>
    </row>
    <row r="3196">
      <c r="D3196">
        <f>IFERROR(XLOOKUP(C3196,'Vendor Master'!$A$6:$A$15,'Vendor Master'!$B$6:$B$15,""),"")</f>
        <v/>
      </c>
      <c r="J3196">
        <f>IF(A3196="","",TEXT(A3196,"mmm-yyyy"))</f>
        <v/>
      </c>
    </row>
    <row r="3197">
      <c r="D3197">
        <f>IFERROR(XLOOKUP(C3197,'Vendor Master'!$A$6:$A$15,'Vendor Master'!$B$6:$B$15,""),"")</f>
        <v/>
      </c>
      <c r="J3197">
        <f>IF(A3197="","",TEXT(A3197,"mmm-yyyy"))</f>
        <v/>
      </c>
    </row>
    <row r="3198">
      <c r="D3198">
        <f>IFERROR(XLOOKUP(C3198,'Vendor Master'!$A$6:$A$15,'Vendor Master'!$B$6:$B$15,""),"")</f>
        <v/>
      </c>
      <c r="J3198">
        <f>IF(A3198="","",TEXT(A3198,"mmm-yyyy"))</f>
        <v/>
      </c>
    </row>
    <row r="3199">
      <c r="D3199">
        <f>IFERROR(XLOOKUP(C3199,'Vendor Master'!$A$6:$A$15,'Vendor Master'!$B$6:$B$15,""),"")</f>
        <v/>
      </c>
      <c r="J3199">
        <f>IF(A3199="","",TEXT(A3199,"mmm-yyyy"))</f>
        <v/>
      </c>
    </row>
    <row r="3200">
      <c r="D3200">
        <f>IFERROR(XLOOKUP(C3200,'Vendor Master'!$A$6:$A$15,'Vendor Master'!$B$6:$B$15,""),"")</f>
        <v/>
      </c>
      <c r="J3200">
        <f>IF(A3200="","",TEXT(A3200,"mmm-yyyy"))</f>
        <v/>
      </c>
    </row>
    <row r="3201">
      <c r="D3201">
        <f>IFERROR(XLOOKUP(C3201,'Vendor Master'!$A$6:$A$15,'Vendor Master'!$B$6:$B$15,""),"")</f>
        <v/>
      </c>
      <c r="J3201">
        <f>IF(A3201="","",TEXT(A3201,"mmm-yyyy"))</f>
        <v/>
      </c>
    </row>
    <row r="3202">
      <c r="D3202">
        <f>IFERROR(XLOOKUP(C3202,'Vendor Master'!$A$6:$A$15,'Vendor Master'!$B$6:$B$15,""),"")</f>
        <v/>
      </c>
      <c r="J3202">
        <f>IF(A3202="","",TEXT(A3202,"mmm-yyyy"))</f>
        <v/>
      </c>
    </row>
    <row r="3203">
      <c r="D3203">
        <f>IFERROR(XLOOKUP(C3203,'Vendor Master'!$A$6:$A$15,'Vendor Master'!$B$6:$B$15,""),"")</f>
        <v/>
      </c>
      <c r="J3203">
        <f>IF(A3203="","",TEXT(A3203,"mmm-yyyy"))</f>
        <v/>
      </c>
    </row>
    <row r="3204">
      <c r="D3204">
        <f>IFERROR(XLOOKUP(C3204,'Vendor Master'!$A$6:$A$15,'Vendor Master'!$B$6:$B$15,""),"")</f>
        <v/>
      </c>
      <c r="J3204">
        <f>IF(A3204="","",TEXT(A3204,"mmm-yyyy"))</f>
        <v/>
      </c>
    </row>
    <row r="3205">
      <c r="D3205">
        <f>IFERROR(XLOOKUP(C3205,'Vendor Master'!$A$6:$A$15,'Vendor Master'!$B$6:$B$15,""),"")</f>
        <v/>
      </c>
      <c r="J3205">
        <f>IF(A3205="","",TEXT(A3205,"mmm-yyyy"))</f>
        <v/>
      </c>
    </row>
    <row r="3206">
      <c r="D3206">
        <f>IFERROR(XLOOKUP(C3206,'Vendor Master'!$A$6:$A$15,'Vendor Master'!$B$6:$B$15,""),"")</f>
        <v/>
      </c>
      <c r="J3206">
        <f>IF(A3206="","",TEXT(A3206,"mmm-yyyy"))</f>
        <v/>
      </c>
    </row>
    <row r="3207">
      <c r="D3207">
        <f>IFERROR(XLOOKUP(C3207,'Vendor Master'!$A$6:$A$15,'Vendor Master'!$B$6:$B$15,""),"")</f>
        <v/>
      </c>
      <c r="J3207">
        <f>IF(A3207="","",TEXT(A3207,"mmm-yyyy"))</f>
        <v/>
      </c>
    </row>
    <row r="3208">
      <c r="D3208">
        <f>IFERROR(XLOOKUP(C3208,'Vendor Master'!$A$6:$A$15,'Vendor Master'!$B$6:$B$15,""),"")</f>
        <v/>
      </c>
      <c r="J3208">
        <f>IF(A3208="","",TEXT(A3208,"mmm-yyyy"))</f>
        <v/>
      </c>
    </row>
    <row r="3209">
      <c r="D3209">
        <f>IFERROR(XLOOKUP(C3209,'Vendor Master'!$A$6:$A$15,'Vendor Master'!$B$6:$B$15,""),"")</f>
        <v/>
      </c>
      <c r="J3209">
        <f>IF(A3209="","",TEXT(A3209,"mmm-yyyy"))</f>
        <v/>
      </c>
    </row>
    <row r="3210">
      <c r="D3210">
        <f>IFERROR(XLOOKUP(C3210,'Vendor Master'!$A$6:$A$15,'Vendor Master'!$B$6:$B$15,""),"")</f>
        <v/>
      </c>
      <c r="J3210">
        <f>IF(A3210="","",TEXT(A3210,"mmm-yyyy"))</f>
        <v/>
      </c>
    </row>
    <row r="3211">
      <c r="D3211">
        <f>IFERROR(XLOOKUP(C3211,'Vendor Master'!$A$6:$A$15,'Vendor Master'!$B$6:$B$15,""),"")</f>
        <v/>
      </c>
      <c r="J3211">
        <f>IF(A3211="","",TEXT(A3211,"mmm-yyyy"))</f>
        <v/>
      </c>
    </row>
    <row r="3212">
      <c r="D3212">
        <f>IFERROR(XLOOKUP(C3212,'Vendor Master'!$A$6:$A$15,'Vendor Master'!$B$6:$B$15,""),"")</f>
        <v/>
      </c>
      <c r="J3212">
        <f>IF(A3212="","",TEXT(A3212,"mmm-yyyy"))</f>
        <v/>
      </c>
    </row>
    <row r="3213">
      <c r="D3213">
        <f>IFERROR(XLOOKUP(C3213,'Vendor Master'!$A$6:$A$15,'Vendor Master'!$B$6:$B$15,""),"")</f>
        <v/>
      </c>
      <c r="J3213">
        <f>IF(A3213="","",TEXT(A3213,"mmm-yyyy"))</f>
        <v/>
      </c>
    </row>
    <row r="3214">
      <c r="D3214">
        <f>IFERROR(XLOOKUP(C3214,'Vendor Master'!$A$6:$A$15,'Vendor Master'!$B$6:$B$15,""),"")</f>
        <v/>
      </c>
      <c r="J3214">
        <f>IF(A3214="","",TEXT(A3214,"mmm-yyyy"))</f>
        <v/>
      </c>
    </row>
    <row r="3215">
      <c r="D3215">
        <f>IFERROR(XLOOKUP(C3215,'Vendor Master'!$A$6:$A$15,'Vendor Master'!$B$6:$B$15,""),"")</f>
        <v/>
      </c>
      <c r="J3215">
        <f>IF(A3215="","",TEXT(A3215,"mmm-yyyy"))</f>
        <v/>
      </c>
    </row>
    <row r="3216">
      <c r="D3216">
        <f>IFERROR(XLOOKUP(C3216,'Vendor Master'!$A$6:$A$15,'Vendor Master'!$B$6:$B$15,""),"")</f>
        <v/>
      </c>
      <c r="J3216">
        <f>IF(A3216="","",TEXT(A3216,"mmm-yyyy"))</f>
        <v/>
      </c>
    </row>
    <row r="3217">
      <c r="D3217">
        <f>IFERROR(XLOOKUP(C3217,'Vendor Master'!$A$6:$A$15,'Vendor Master'!$B$6:$B$15,""),"")</f>
        <v/>
      </c>
      <c r="J3217">
        <f>IF(A3217="","",TEXT(A3217,"mmm-yyyy"))</f>
        <v/>
      </c>
    </row>
    <row r="3218">
      <c r="D3218">
        <f>IFERROR(XLOOKUP(C3218,'Vendor Master'!$A$6:$A$15,'Vendor Master'!$B$6:$B$15,""),"")</f>
        <v/>
      </c>
      <c r="J3218">
        <f>IF(A3218="","",TEXT(A3218,"mmm-yyyy"))</f>
        <v/>
      </c>
    </row>
    <row r="3219">
      <c r="D3219">
        <f>IFERROR(XLOOKUP(C3219,'Vendor Master'!$A$6:$A$15,'Vendor Master'!$B$6:$B$15,""),"")</f>
        <v/>
      </c>
      <c r="J3219">
        <f>IF(A3219="","",TEXT(A3219,"mmm-yyyy"))</f>
        <v/>
      </c>
    </row>
    <row r="3220">
      <c r="D3220">
        <f>IFERROR(XLOOKUP(C3220,'Vendor Master'!$A$6:$A$15,'Vendor Master'!$B$6:$B$15,""),"")</f>
        <v/>
      </c>
      <c r="J3220">
        <f>IF(A3220="","",TEXT(A3220,"mmm-yyyy"))</f>
        <v/>
      </c>
    </row>
    <row r="3221">
      <c r="D3221">
        <f>IFERROR(XLOOKUP(C3221,'Vendor Master'!$A$6:$A$15,'Vendor Master'!$B$6:$B$15,""),"")</f>
        <v/>
      </c>
      <c r="J3221">
        <f>IF(A3221="","",TEXT(A3221,"mmm-yyyy"))</f>
        <v/>
      </c>
    </row>
    <row r="3222">
      <c r="D3222">
        <f>IFERROR(XLOOKUP(C3222,'Vendor Master'!$A$6:$A$15,'Vendor Master'!$B$6:$B$15,""),"")</f>
        <v/>
      </c>
      <c r="J3222">
        <f>IF(A3222="","",TEXT(A3222,"mmm-yyyy"))</f>
        <v/>
      </c>
    </row>
    <row r="3223">
      <c r="D3223">
        <f>IFERROR(XLOOKUP(C3223,'Vendor Master'!$A$6:$A$15,'Vendor Master'!$B$6:$B$15,""),"")</f>
        <v/>
      </c>
      <c r="J3223">
        <f>IF(A3223="","",TEXT(A3223,"mmm-yyyy"))</f>
        <v/>
      </c>
    </row>
    <row r="3224">
      <c r="D3224">
        <f>IFERROR(XLOOKUP(C3224,'Vendor Master'!$A$6:$A$15,'Vendor Master'!$B$6:$B$15,""),"")</f>
        <v/>
      </c>
      <c r="J3224">
        <f>IF(A3224="","",TEXT(A3224,"mmm-yyyy"))</f>
        <v/>
      </c>
    </row>
    <row r="3225">
      <c r="D3225">
        <f>IFERROR(XLOOKUP(C3225,'Vendor Master'!$A$6:$A$15,'Vendor Master'!$B$6:$B$15,""),"")</f>
        <v/>
      </c>
      <c r="J3225">
        <f>IF(A3225="","",TEXT(A3225,"mmm-yyyy"))</f>
        <v/>
      </c>
    </row>
    <row r="3226">
      <c r="D3226">
        <f>IFERROR(XLOOKUP(C3226,'Vendor Master'!$A$6:$A$15,'Vendor Master'!$B$6:$B$15,""),"")</f>
        <v/>
      </c>
      <c r="J3226">
        <f>IF(A3226="","",TEXT(A3226,"mmm-yyyy"))</f>
        <v/>
      </c>
    </row>
    <row r="3227">
      <c r="D3227">
        <f>IFERROR(XLOOKUP(C3227,'Vendor Master'!$A$6:$A$15,'Vendor Master'!$B$6:$B$15,""),"")</f>
        <v/>
      </c>
      <c r="J3227">
        <f>IF(A3227="","",TEXT(A3227,"mmm-yyyy"))</f>
        <v/>
      </c>
    </row>
    <row r="3228">
      <c r="D3228">
        <f>IFERROR(XLOOKUP(C3228,'Vendor Master'!$A$6:$A$15,'Vendor Master'!$B$6:$B$15,""),"")</f>
        <v/>
      </c>
      <c r="J3228">
        <f>IF(A3228="","",TEXT(A3228,"mmm-yyyy"))</f>
        <v/>
      </c>
    </row>
    <row r="3229">
      <c r="D3229">
        <f>IFERROR(XLOOKUP(C3229,'Vendor Master'!$A$6:$A$15,'Vendor Master'!$B$6:$B$15,""),"")</f>
        <v/>
      </c>
      <c r="J3229">
        <f>IF(A3229="","",TEXT(A3229,"mmm-yyyy"))</f>
        <v/>
      </c>
    </row>
    <row r="3230">
      <c r="D3230">
        <f>IFERROR(XLOOKUP(C3230,'Vendor Master'!$A$6:$A$15,'Vendor Master'!$B$6:$B$15,""),"")</f>
        <v/>
      </c>
      <c r="J3230">
        <f>IF(A3230="","",TEXT(A3230,"mmm-yyyy"))</f>
        <v/>
      </c>
    </row>
    <row r="3231">
      <c r="D3231">
        <f>IFERROR(XLOOKUP(C3231,'Vendor Master'!$A$6:$A$15,'Vendor Master'!$B$6:$B$15,""),"")</f>
        <v/>
      </c>
      <c r="J3231">
        <f>IF(A3231="","",TEXT(A3231,"mmm-yyyy"))</f>
        <v/>
      </c>
    </row>
    <row r="3232">
      <c r="D3232">
        <f>IFERROR(XLOOKUP(C3232,'Vendor Master'!$A$6:$A$15,'Vendor Master'!$B$6:$B$15,""),"")</f>
        <v/>
      </c>
      <c r="J3232">
        <f>IF(A3232="","",TEXT(A3232,"mmm-yyyy"))</f>
        <v/>
      </c>
    </row>
    <row r="3233">
      <c r="D3233">
        <f>IFERROR(XLOOKUP(C3233,'Vendor Master'!$A$6:$A$15,'Vendor Master'!$B$6:$B$15,""),"")</f>
        <v/>
      </c>
      <c r="J3233">
        <f>IF(A3233="","",TEXT(A3233,"mmm-yyyy"))</f>
        <v/>
      </c>
    </row>
    <row r="3234">
      <c r="D3234">
        <f>IFERROR(XLOOKUP(C3234,'Vendor Master'!$A$6:$A$15,'Vendor Master'!$B$6:$B$15,""),"")</f>
        <v/>
      </c>
      <c r="J3234">
        <f>IF(A3234="","",TEXT(A3234,"mmm-yyyy"))</f>
        <v/>
      </c>
    </row>
    <row r="3235">
      <c r="D3235">
        <f>IFERROR(XLOOKUP(C3235,'Vendor Master'!$A$6:$A$15,'Vendor Master'!$B$6:$B$15,""),"")</f>
        <v/>
      </c>
      <c r="J3235">
        <f>IF(A3235="","",TEXT(A3235,"mmm-yyyy"))</f>
        <v/>
      </c>
    </row>
    <row r="3236">
      <c r="D3236">
        <f>IFERROR(XLOOKUP(C3236,'Vendor Master'!$A$6:$A$15,'Vendor Master'!$B$6:$B$15,""),"")</f>
        <v/>
      </c>
      <c r="J3236">
        <f>IF(A3236="","",TEXT(A3236,"mmm-yyyy"))</f>
        <v/>
      </c>
    </row>
    <row r="3237">
      <c r="D3237">
        <f>IFERROR(XLOOKUP(C3237,'Vendor Master'!$A$6:$A$15,'Vendor Master'!$B$6:$B$15,""),"")</f>
        <v/>
      </c>
      <c r="J3237">
        <f>IF(A3237="","",TEXT(A3237,"mmm-yyyy"))</f>
        <v/>
      </c>
    </row>
    <row r="3238">
      <c r="D3238">
        <f>IFERROR(XLOOKUP(C3238,'Vendor Master'!$A$6:$A$15,'Vendor Master'!$B$6:$B$15,""),"")</f>
        <v/>
      </c>
      <c r="J3238">
        <f>IF(A3238="","",TEXT(A3238,"mmm-yyyy"))</f>
        <v/>
      </c>
    </row>
    <row r="3239">
      <c r="D3239">
        <f>IFERROR(XLOOKUP(C3239,'Vendor Master'!$A$6:$A$15,'Vendor Master'!$B$6:$B$15,""),"")</f>
        <v/>
      </c>
      <c r="J3239">
        <f>IF(A3239="","",TEXT(A3239,"mmm-yyyy"))</f>
        <v/>
      </c>
    </row>
    <row r="3240">
      <c r="D3240">
        <f>IFERROR(XLOOKUP(C3240,'Vendor Master'!$A$6:$A$15,'Vendor Master'!$B$6:$B$15,""),"")</f>
        <v/>
      </c>
      <c r="J3240">
        <f>IF(A3240="","",TEXT(A3240,"mmm-yyyy"))</f>
        <v/>
      </c>
    </row>
    <row r="3241">
      <c r="D3241">
        <f>IFERROR(XLOOKUP(C3241,'Vendor Master'!$A$6:$A$15,'Vendor Master'!$B$6:$B$15,""),"")</f>
        <v/>
      </c>
      <c r="J3241">
        <f>IF(A3241="","",TEXT(A3241,"mmm-yyyy"))</f>
        <v/>
      </c>
    </row>
    <row r="3242">
      <c r="D3242">
        <f>IFERROR(XLOOKUP(C3242,'Vendor Master'!$A$6:$A$15,'Vendor Master'!$B$6:$B$15,""),"")</f>
        <v/>
      </c>
      <c r="J3242">
        <f>IF(A3242="","",TEXT(A3242,"mmm-yyyy"))</f>
        <v/>
      </c>
    </row>
    <row r="3243">
      <c r="D3243">
        <f>IFERROR(XLOOKUP(C3243,'Vendor Master'!$A$6:$A$15,'Vendor Master'!$B$6:$B$15,""),"")</f>
        <v/>
      </c>
      <c r="J3243">
        <f>IF(A3243="","",TEXT(A3243,"mmm-yyyy"))</f>
        <v/>
      </c>
    </row>
    <row r="3244">
      <c r="D3244">
        <f>IFERROR(XLOOKUP(C3244,'Vendor Master'!$A$6:$A$15,'Vendor Master'!$B$6:$B$15,""),"")</f>
        <v/>
      </c>
      <c r="J3244">
        <f>IF(A3244="","",TEXT(A3244,"mmm-yyyy"))</f>
        <v/>
      </c>
    </row>
    <row r="3245">
      <c r="D3245">
        <f>IFERROR(XLOOKUP(C3245,'Vendor Master'!$A$6:$A$15,'Vendor Master'!$B$6:$B$15,""),"")</f>
        <v/>
      </c>
      <c r="J3245">
        <f>IF(A3245="","",TEXT(A3245,"mmm-yyyy"))</f>
        <v/>
      </c>
    </row>
    <row r="3246">
      <c r="D3246">
        <f>IFERROR(XLOOKUP(C3246,'Vendor Master'!$A$6:$A$15,'Vendor Master'!$B$6:$B$15,""),"")</f>
        <v/>
      </c>
      <c r="J3246">
        <f>IF(A3246="","",TEXT(A3246,"mmm-yyyy"))</f>
        <v/>
      </c>
    </row>
    <row r="3247">
      <c r="D3247">
        <f>IFERROR(XLOOKUP(C3247,'Vendor Master'!$A$6:$A$15,'Vendor Master'!$B$6:$B$15,""),"")</f>
        <v/>
      </c>
      <c r="J3247">
        <f>IF(A3247="","",TEXT(A3247,"mmm-yyyy"))</f>
        <v/>
      </c>
    </row>
    <row r="3248">
      <c r="D3248">
        <f>IFERROR(XLOOKUP(C3248,'Vendor Master'!$A$6:$A$15,'Vendor Master'!$B$6:$B$15,""),"")</f>
        <v/>
      </c>
      <c r="J3248">
        <f>IF(A3248="","",TEXT(A3248,"mmm-yyyy"))</f>
        <v/>
      </c>
    </row>
    <row r="3249">
      <c r="D3249">
        <f>IFERROR(XLOOKUP(C3249,'Vendor Master'!$A$6:$A$15,'Vendor Master'!$B$6:$B$15,""),"")</f>
        <v/>
      </c>
      <c r="J3249">
        <f>IF(A3249="","",TEXT(A3249,"mmm-yyyy"))</f>
        <v/>
      </c>
    </row>
    <row r="3250">
      <c r="D3250">
        <f>IFERROR(XLOOKUP(C3250,'Vendor Master'!$A$6:$A$15,'Vendor Master'!$B$6:$B$15,""),"")</f>
        <v/>
      </c>
      <c r="J3250">
        <f>IF(A3250="","",TEXT(A3250,"mmm-yyyy"))</f>
        <v/>
      </c>
    </row>
    <row r="3251">
      <c r="D3251">
        <f>IFERROR(XLOOKUP(C3251,'Vendor Master'!$A$6:$A$15,'Vendor Master'!$B$6:$B$15,""),"")</f>
        <v/>
      </c>
      <c r="J3251">
        <f>IF(A3251="","",TEXT(A3251,"mmm-yyyy"))</f>
        <v/>
      </c>
    </row>
    <row r="3252">
      <c r="D3252">
        <f>IFERROR(XLOOKUP(C3252,'Vendor Master'!$A$6:$A$15,'Vendor Master'!$B$6:$B$15,""),"")</f>
        <v/>
      </c>
      <c r="J3252">
        <f>IF(A3252="","",TEXT(A3252,"mmm-yyyy"))</f>
        <v/>
      </c>
    </row>
    <row r="3253">
      <c r="D3253">
        <f>IFERROR(XLOOKUP(C3253,'Vendor Master'!$A$6:$A$15,'Vendor Master'!$B$6:$B$15,""),"")</f>
        <v/>
      </c>
      <c r="J3253">
        <f>IF(A3253="","",TEXT(A3253,"mmm-yyyy"))</f>
        <v/>
      </c>
    </row>
    <row r="3254">
      <c r="D3254">
        <f>IFERROR(XLOOKUP(C3254,'Vendor Master'!$A$6:$A$15,'Vendor Master'!$B$6:$B$15,""),"")</f>
        <v/>
      </c>
      <c r="J3254">
        <f>IF(A3254="","",TEXT(A3254,"mmm-yyyy"))</f>
        <v/>
      </c>
    </row>
    <row r="3255">
      <c r="D3255">
        <f>IFERROR(XLOOKUP(C3255,'Vendor Master'!$A$6:$A$15,'Vendor Master'!$B$6:$B$15,""),"")</f>
        <v/>
      </c>
      <c r="J3255">
        <f>IF(A3255="","",TEXT(A3255,"mmm-yyyy"))</f>
        <v/>
      </c>
    </row>
    <row r="3256">
      <c r="D3256">
        <f>IFERROR(XLOOKUP(C3256,'Vendor Master'!$A$6:$A$15,'Vendor Master'!$B$6:$B$15,""),"")</f>
        <v/>
      </c>
      <c r="J3256">
        <f>IF(A3256="","",TEXT(A3256,"mmm-yyyy"))</f>
        <v/>
      </c>
    </row>
    <row r="3257">
      <c r="D3257">
        <f>IFERROR(XLOOKUP(C3257,'Vendor Master'!$A$6:$A$15,'Vendor Master'!$B$6:$B$15,""),"")</f>
        <v/>
      </c>
      <c r="J3257">
        <f>IF(A3257="","",TEXT(A3257,"mmm-yyyy"))</f>
        <v/>
      </c>
    </row>
    <row r="3258">
      <c r="D3258">
        <f>IFERROR(XLOOKUP(C3258,'Vendor Master'!$A$6:$A$15,'Vendor Master'!$B$6:$B$15,""),"")</f>
        <v/>
      </c>
      <c r="J3258">
        <f>IF(A3258="","",TEXT(A3258,"mmm-yyyy"))</f>
        <v/>
      </c>
    </row>
    <row r="3259">
      <c r="D3259">
        <f>IFERROR(XLOOKUP(C3259,'Vendor Master'!$A$6:$A$15,'Vendor Master'!$B$6:$B$15,""),"")</f>
        <v/>
      </c>
      <c r="J3259">
        <f>IF(A3259="","",TEXT(A3259,"mmm-yyyy"))</f>
        <v/>
      </c>
    </row>
    <row r="3260">
      <c r="D3260">
        <f>IFERROR(XLOOKUP(C3260,'Vendor Master'!$A$6:$A$15,'Vendor Master'!$B$6:$B$15,""),"")</f>
        <v/>
      </c>
      <c r="J3260">
        <f>IF(A3260="","",TEXT(A3260,"mmm-yyyy"))</f>
        <v/>
      </c>
    </row>
    <row r="3261">
      <c r="D3261">
        <f>IFERROR(XLOOKUP(C3261,'Vendor Master'!$A$6:$A$15,'Vendor Master'!$B$6:$B$15,""),"")</f>
        <v/>
      </c>
      <c r="J3261">
        <f>IF(A3261="","",TEXT(A3261,"mmm-yyyy"))</f>
        <v/>
      </c>
    </row>
    <row r="3262">
      <c r="D3262">
        <f>IFERROR(XLOOKUP(C3262,'Vendor Master'!$A$6:$A$15,'Vendor Master'!$B$6:$B$15,""),"")</f>
        <v/>
      </c>
      <c r="J3262">
        <f>IF(A3262="","",TEXT(A3262,"mmm-yyyy"))</f>
        <v/>
      </c>
    </row>
    <row r="3263">
      <c r="D3263">
        <f>IFERROR(XLOOKUP(C3263,'Vendor Master'!$A$6:$A$15,'Vendor Master'!$B$6:$B$15,""),"")</f>
        <v/>
      </c>
      <c r="J3263">
        <f>IF(A3263="","",TEXT(A3263,"mmm-yyyy"))</f>
        <v/>
      </c>
    </row>
    <row r="3264">
      <c r="D3264">
        <f>IFERROR(XLOOKUP(C3264,'Vendor Master'!$A$6:$A$15,'Vendor Master'!$B$6:$B$15,""),"")</f>
        <v/>
      </c>
      <c r="J3264">
        <f>IF(A3264="","",TEXT(A3264,"mmm-yyyy"))</f>
        <v/>
      </c>
    </row>
    <row r="3265">
      <c r="D3265">
        <f>IFERROR(XLOOKUP(C3265,'Vendor Master'!$A$6:$A$15,'Vendor Master'!$B$6:$B$15,""),"")</f>
        <v/>
      </c>
      <c r="J3265">
        <f>IF(A3265="","",TEXT(A3265,"mmm-yyyy"))</f>
        <v/>
      </c>
    </row>
    <row r="3266">
      <c r="D3266">
        <f>IFERROR(XLOOKUP(C3266,'Vendor Master'!$A$6:$A$15,'Vendor Master'!$B$6:$B$15,""),"")</f>
        <v/>
      </c>
      <c r="J3266">
        <f>IF(A3266="","",TEXT(A3266,"mmm-yyyy"))</f>
        <v/>
      </c>
    </row>
    <row r="3267">
      <c r="D3267">
        <f>IFERROR(XLOOKUP(C3267,'Vendor Master'!$A$6:$A$15,'Vendor Master'!$B$6:$B$15,""),"")</f>
        <v/>
      </c>
      <c r="J3267">
        <f>IF(A3267="","",TEXT(A3267,"mmm-yyyy"))</f>
        <v/>
      </c>
    </row>
    <row r="3268">
      <c r="D3268">
        <f>IFERROR(XLOOKUP(C3268,'Vendor Master'!$A$6:$A$15,'Vendor Master'!$B$6:$B$15,""),"")</f>
        <v/>
      </c>
      <c r="J3268">
        <f>IF(A3268="","",TEXT(A3268,"mmm-yyyy"))</f>
        <v/>
      </c>
    </row>
    <row r="3269">
      <c r="D3269">
        <f>IFERROR(XLOOKUP(C3269,'Vendor Master'!$A$6:$A$15,'Vendor Master'!$B$6:$B$15,""),"")</f>
        <v/>
      </c>
      <c r="J3269">
        <f>IF(A3269="","",TEXT(A3269,"mmm-yyyy"))</f>
        <v/>
      </c>
    </row>
    <row r="3270">
      <c r="D3270">
        <f>IFERROR(XLOOKUP(C3270,'Vendor Master'!$A$6:$A$15,'Vendor Master'!$B$6:$B$15,""),"")</f>
        <v/>
      </c>
      <c r="J3270">
        <f>IF(A3270="","",TEXT(A3270,"mmm-yyyy"))</f>
        <v/>
      </c>
    </row>
    <row r="3271">
      <c r="D3271">
        <f>IFERROR(XLOOKUP(C3271,'Vendor Master'!$A$6:$A$15,'Vendor Master'!$B$6:$B$15,""),"")</f>
        <v/>
      </c>
      <c r="J3271">
        <f>IF(A3271="","",TEXT(A3271,"mmm-yyyy"))</f>
        <v/>
      </c>
    </row>
    <row r="3272">
      <c r="D3272">
        <f>IFERROR(XLOOKUP(C3272,'Vendor Master'!$A$6:$A$15,'Vendor Master'!$B$6:$B$15,""),"")</f>
        <v/>
      </c>
      <c r="J3272">
        <f>IF(A3272="","",TEXT(A3272,"mmm-yyyy"))</f>
        <v/>
      </c>
    </row>
    <row r="3273">
      <c r="D3273">
        <f>IFERROR(XLOOKUP(C3273,'Vendor Master'!$A$6:$A$15,'Vendor Master'!$B$6:$B$15,""),"")</f>
        <v/>
      </c>
      <c r="J3273">
        <f>IF(A3273="","",TEXT(A3273,"mmm-yyyy"))</f>
        <v/>
      </c>
    </row>
    <row r="3274">
      <c r="D3274">
        <f>IFERROR(XLOOKUP(C3274,'Vendor Master'!$A$6:$A$15,'Vendor Master'!$B$6:$B$15,""),"")</f>
        <v/>
      </c>
      <c r="J3274">
        <f>IF(A3274="","",TEXT(A3274,"mmm-yyyy"))</f>
        <v/>
      </c>
    </row>
    <row r="3275">
      <c r="D3275">
        <f>IFERROR(XLOOKUP(C3275,'Vendor Master'!$A$6:$A$15,'Vendor Master'!$B$6:$B$15,""),"")</f>
        <v/>
      </c>
      <c r="J3275">
        <f>IF(A3275="","",TEXT(A3275,"mmm-yyyy"))</f>
        <v/>
      </c>
    </row>
    <row r="3276">
      <c r="D3276">
        <f>IFERROR(XLOOKUP(C3276,'Vendor Master'!$A$6:$A$15,'Vendor Master'!$B$6:$B$15,""),"")</f>
        <v/>
      </c>
      <c r="J3276">
        <f>IF(A3276="","",TEXT(A3276,"mmm-yyyy"))</f>
        <v/>
      </c>
    </row>
    <row r="3277">
      <c r="D3277">
        <f>IFERROR(XLOOKUP(C3277,'Vendor Master'!$A$6:$A$15,'Vendor Master'!$B$6:$B$15,""),"")</f>
        <v/>
      </c>
      <c r="J3277">
        <f>IF(A3277="","",TEXT(A3277,"mmm-yyyy"))</f>
        <v/>
      </c>
    </row>
    <row r="3278">
      <c r="D3278">
        <f>IFERROR(XLOOKUP(C3278,'Vendor Master'!$A$6:$A$15,'Vendor Master'!$B$6:$B$15,""),"")</f>
        <v/>
      </c>
      <c r="J3278">
        <f>IF(A3278="","",TEXT(A3278,"mmm-yyyy"))</f>
        <v/>
      </c>
    </row>
    <row r="3279">
      <c r="D3279">
        <f>IFERROR(XLOOKUP(C3279,'Vendor Master'!$A$6:$A$15,'Vendor Master'!$B$6:$B$15,""),"")</f>
        <v/>
      </c>
      <c r="J3279">
        <f>IF(A3279="","",TEXT(A3279,"mmm-yyyy"))</f>
        <v/>
      </c>
    </row>
    <row r="3280">
      <c r="D3280">
        <f>IFERROR(XLOOKUP(C3280,'Vendor Master'!$A$6:$A$15,'Vendor Master'!$B$6:$B$15,""),"")</f>
        <v/>
      </c>
      <c r="J3280">
        <f>IF(A3280="","",TEXT(A3280,"mmm-yyyy"))</f>
        <v/>
      </c>
    </row>
    <row r="3281">
      <c r="D3281">
        <f>IFERROR(XLOOKUP(C3281,'Vendor Master'!$A$6:$A$15,'Vendor Master'!$B$6:$B$15,""),"")</f>
        <v/>
      </c>
      <c r="J3281">
        <f>IF(A3281="","",TEXT(A3281,"mmm-yyyy"))</f>
        <v/>
      </c>
    </row>
    <row r="3282">
      <c r="D3282">
        <f>IFERROR(XLOOKUP(C3282,'Vendor Master'!$A$6:$A$15,'Vendor Master'!$B$6:$B$15,""),"")</f>
        <v/>
      </c>
      <c r="J3282">
        <f>IF(A3282="","",TEXT(A3282,"mmm-yyyy"))</f>
        <v/>
      </c>
    </row>
    <row r="3283">
      <c r="D3283">
        <f>IFERROR(XLOOKUP(C3283,'Vendor Master'!$A$6:$A$15,'Vendor Master'!$B$6:$B$15,""),"")</f>
        <v/>
      </c>
      <c r="J3283">
        <f>IF(A3283="","",TEXT(A3283,"mmm-yyyy"))</f>
        <v/>
      </c>
    </row>
    <row r="3284">
      <c r="D3284">
        <f>IFERROR(XLOOKUP(C3284,'Vendor Master'!$A$6:$A$15,'Vendor Master'!$B$6:$B$15,""),"")</f>
        <v/>
      </c>
      <c r="J3284">
        <f>IF(A3284="","",TEXT(A3284,"mmm-yyyy"))</f>
        <v/>
      </c>
    </row>
    <row r="3285">
      <c r="D3285">
        <f>IFERROR(XLOOKUP(C3285,'Vendor Master'!$A$6:$A$15,'Vendor Master'!$B$6:$B$15,""),"")</f>
        <v/>
      </c>
      <c r="J3285">
        <f>IF(A3285="","",TEXT(A3285,"mmm-yyyy"))</f>
        <v/>
      </c>
    </row>
    <row r="3286">
      <c r="D3286">
        <f>IFERROR(XLOOKUP(C3286,'Vendor Master'!$A$6:$A$15,'Vendor Master'!$B$6:$B$15,""),"")</f>
        <v/>
      </c>
      <c r="J3286">
        <f>IF(A3286="","",TEXT(A3286,"mmm-yyyy"))</f>
        <v/>
      </c>
    </row>
    <row r="3287">
      <c r="D3287">
        <f>IFERROR(XLOOKUP(C3287,'Vendor Master'!$A$6:$A$15,'Vendor Master'!$B$6:$B$15,""),"")</f>
        <v/>
      </c>
      <c r="J3287">
        <f>IF(A3287="","",TEXT(A3287,"mmm-yyyy"))</f>
        <v/>
      </c>
    </row>
    <row r="3288">
      <c r="D3288">
        <f>IFERROR(XLOOKUP(C3288,'Vendor Master'!$A$6:$A$15,'Vendor Master'!$B$6:$B$15,""),"")</f>
        <v/>
      </c>
      <c r="J3288">
        <f>IF(A3288="","",TEXT(A3288,"mmm-yyyy"))</f>
        <v/>
      </c>
    </row>
    <row r="3289">
      <c r="D3289">
        <f>IFERROR(XLOOKUP(C3289,'Vendor Master'!$A$6:$A$15,'Vendor Master'!$B$6:$B$15,""),"")</f>
        <v/>
      </c>
      <c r="J3289">
        <f>IF(A3289="","",TEXT(A3289,"mmm-yyyy"))</f>
        <v/>
      </c>
    </row>
    <row r="3290">
      <c r="D3290">
        <f>IFERROR(XLOOKUP(C3290,'Vendor Master'!$A$6:$A$15,'Vendor Master'!$B$6:$B$15,""),"")</f>
        <v/>
      </c>
      <c r="J3290">
        <f>IF(A3290="","",TEXT(A3290,"mmm-yyyy"))</f>
        <v/>
      </c>
    </row>
    <row r="3291">
      <c r="D3291">
        <f>IFERROR(XLOOKUP(C3291,'Vendor Master'!$A$6:$A$15,'Vendor Master'!$B$6:$B$15,""),"")</f>
        <v/>
      </c>
      <c r="J3291">
        <f>IF(A3291="","",TEXT(A3291,"mmm-yyyy"))</f>
        <v/>
      </c>
    </row>
    <row r="3292">
      <c r="D3292">
        <f>IFERROR(XLOOKUP(C3292,'Vendor Master'!$A$6:$A$15,'Vendor Master'!$B$6:$B$15,""),"")</f>
        <v/>
      </c>
      <c r="J3292">
        <f>IF(A3292="","",TEXT(A3292,"mmm-yyyy"))</f>
        <v/>
      </c>
    </row>
    <row r="3293">
      <c r="D3293">
        <f>IFERROR(XLOOKUP(C3293,'Vendor Master'!$A$6:$A$15,'Vendor Master'!$B$6:$B$15,""),"")</f>
        <v/>
      </c>
      <c r="J3293">
        <f>IF(A3293="","",TEXT(A3293,"mmm-yyyy"))</f>
        <v/>
      </c>
    </row>
    <row r="3294">
      <c r="D3294">
        <f>IFERROR(XLOOKUP(C3294,'Vendor Master'!$A$6:$A$15,'Vendor Master'!$B$6:$B$15,""),"")</f>
        <v/>
      </c>
      <c r="J3294">
        <f>IF(A3294="","",TEXT(A3294,"mmm-yyyy"))</f>
        <v/>
      </c>
    </row>
    <row r="3295">
      <c r="D3295">
        <f>IFERROR(XLOOKUP(C3295,'Vendor Master'!$A$6:$A$15,'Vendor Master'!$B$6:$B$15,""),"")</f>
        <v/>
      </c>
      <c r="J3295">
        <f>IF(A3295="","",TEXT(A3295,"mmm-yyyy"))</f>
        <v/>
      </c>
    </row>
    <row r="3296">
      <c r="D3296">
        <f>IFERROR(XLOOKUP(C3296,'Vendor Master'!$A$6:$A$15,'Vendor Master'!$B$6:$B$15,""),"")</f>
        <v/>
      </c>
      <c r="J3296">
        <f>IF(A3296="","",TEXT(A3296,"mmm-yyyy"))</f>
        <v/>
      </c>
    </row>
    <row r="3297">
      <c r="D3297">
        <f>IFERROR(XLOOKUP(C3297,'Vendor Master'!$A$6:$A$15,'Vendor Master'!$B$6:$B$15,""),"")</f>
        <v/>
      </c>
      <c r="J3297">
        <f>IF(A3297="","",TEXT(A3297,"mmm-yyyy"))</f>
        <v/>
      </c>
    </row>
    <row r="3298">
      <c r="D3298">
        <f>IFERROR(XLOOKUP(C3298,'Vendor Master'!$A$6:$A$15,'Vendor Master'!$B$6:$B$15,""),"")</f>
        <v/>
      </c>
      <c r="J3298">
        <f>IF(A3298="","",TEXT(A3298,"mmm-yyyy"))</f>
        <v/>
      </c>
    </row>
    <row r="3299">
      <c r="D3299">
        <f>IFERROR(XLOOKUP(C3299,'Vendor Master'!$A$6:$A$15,'Vendor Master'!$B$6:$B$15,""),"")</f>
        <v/>
      </c>
      <c r="J3299">
        <f>IF(A3299="","",TEXT(A3299,"mmm-yyyy"))</f>
        <v/>
      </c>
    </row>
    <row r="3300">
      <c r="D3300">
        <f>IFERROR(XLOOKUP(C3300,'Vendor Master'!$A$6:$A$15,'Vendor Master'!$B$6:$B$15,""),"")</f>
        <v/>
      </c>
      <c r="J3300">
        <f>IF(A3300="","",TEXT(A3300,"mmm-yyyy"))</f>
        <v/>
      </c>
    </row>
    <row r="3301">
      <c r="D3301">
        <f>IFERROR(XLOOKUP(C3301,'Vendor Master'!$A$6:$A$15,'Vendor Master'!$B$6:$B$15,""),"")</f>
        <v/>
      </c>
      <c r="J3301">
        <f>IF(A3301="","",TEXT(A3301,"mmm-yyyy"))</f>
        <v/>
      </c>
    </row>
    <row r="3302">
      <c r="D3302">
        <f>IFERROR(XLOOKUP(C3302,'Vendor Master'!$A$6:$A$15,'Vendor Master'!$B$6:$B$15,""),"")</f>
        <v/>
      </c>
      <c r="J3302">
        <f>IF(A3302="","",TEXT(A3302,"mmm-yyyy"))</f>
        <v/>
      </c>
    </row>
    <row r="3303">
      <c r="D3303">
        <f>IFERROR(XLOOKUP(C3303,'Vendor Master'!$A$6:$A$15,'Vendor Master'!$B$6:$B$15,""),"")</f>
        <v/>
      </c>
      <c r="J3303">
        <f>IF(A3303="","",TEXT(A3303,"mmm-yyyy"))</f>
        <v/>
      </c>
    </row>
    <row r="3304">
      <c r="D3304">
        <f>IFERROR(XLOOKUP(C3304,'Vendor Master'!$A$6:$A$15,'Vendor Master'!$B$6:$B$15,""),"")</f>
        <v/>
      </c>
      <c r="J3304">
        <f>IF(A3304="","",TEXT(A3304,"mmm-yyyy"))</f>
        <v/>
      </c>
    </row>
    <row r="3305">
      <c r="D3305">
        <f>IFERROR(XLOOKUP(C3305,'Vendor Master'!$A$6:$A$15,'Vendor Master'!$B$6:$B$15,""),"")</f>
        <v/>
      </c>
      <c r="J3305">
        <f>IF(A3305="","",TEXT(A3305,"mmm-yyyy"))</f>
        <v/>
      </c>
    </row>
    <row r="3306">
      <c r="D3306">
        <f>IFERROR(XLOOKUP(C3306,'Vendor Master'!$A$6:$A$15,'Vendor Master'!$B$6:$B$15,""),"")</f>
        <v/>
      </c>
      <c r="J3306">
        <f>IF(A3306="","",TEXT(A3306,"mmm-yyyy"))</f>
        <v/>
      </c>
    </row>
    <row r="3307">
      <c r="D3307">
        <f>IFERROR(XLOOKUP(C3307,'Vendor Master'!$A$6:$A$15,'Vendor Master'!$B$6:$B$15,""),"")</f>
        <v/>
      </c>
      <c r="J3307">
        <f>IF(A3307="","",TEXT(A3307,"mmm-yyyy"))</f>
        <v/>
      </c>
    </row>
    <row r="3308">
      <c r="D3308">
        <f>IFERROR(XLOOKUP(C3308,'Vendor Master'!$A$6:$A$15,'Vendor Master'!$B$6:$B$15,""),"")</f>
        <v/>
      </c>
      <c r="J3308">
        <f>IF(A3308="","",TEXT(A3308,"mmm-yyyy"))</f>
        <v/>
      </c>
    </row>
    <row r="3309">
      <c r="D3309">
        <f>IFERROR(XLOOKUP(C3309,'Vendor Master'!$A$6:$A$15,'Vendor Master'!$B$6:$B$15,""),"")</f>
        <v/>
      </c>
      <c r="J3309">
        <f>IF(A3309="","",TEXT(A3309,"mmm-yyyy"))</f>
        <v/>
      </c>
    </row>
    <row r="3310">
      <c r="D3310">
        <f>IFERROR(XLOOKUP(C3310,'Vendor Master'!$A$6:$A$15,'Vendor Master'!$B$6:$B$15,""),"")</f>
        <v/>
      </c>
      <c r="J3310">
        <f>IF(A3310="","",TEXT(A3310,"mmm-yyyy"))</f>
        <v/>
      </c>
    </row>
    <row r="3311">
      <c r="D3311">
        <f>IFERROR(XLOOKUP(C3311,'Vendor Master'!$A$6:$A$15,'Vendor Master'!$B$6:$B$15,""),"")</f>
        <v/>
      </c>
      <c r="J3311">
        <f>IF(A3311="","",TEXT(A3311,"mmm-yyyy"))</f>
        <v/>
      </c>
    </row>
    <row r="3312">
      <c r="D3312">
        <f>IFERROR(XLOOKUP(C3312,'Vendor Master'!$A$6:$A$15,'Vendor Master'!$B$6:$B$15,""),"")</f>
        <v/>
      </c>
      <c r="J3312">
        <f>IF(A3312="","",TEXT(A3312,"mmm-yyyy"))</f>
        <v/>
      </c>
    </row>
    <row r="3313">
      <c r="D3313">
        <f>IFERROR(XLOOKUP(C3313,'Vendor Master'!$A$6:$A$15,'Vendor Master'!$B$6:$B$15,""),"")</f>
        <v/>
      </c>
      <c r="J3313">
        <f>IF(A3313="","",TEXT(A3313,"mmm-yyyy"))</f>
        <v/>
      </c>
    </row>
    <row r="3314">
      <c r="D3314">
        <f>IFERROR(XLOOKUP(C3314,'Vendor Master'!$A$6:$A$15,'Vendor Master'!$B$6:$B$15,""),"")</f>
        <v/>
      </c>
      <c r="J3314">
        <f>IF(A3314="","",TEXT(A3314,"mmm-yyyy"))</f>
        <v/>
      </c>
    </row>
    <row r="3315">
      <c r="D3315">
        <f>IFERROR(XLOOKUP(C3315,'Vendor Master'!$A$6:$A$15,'Vendor Master'!$B$6:$B$15,""),"")</f>
        <v/>
      </c>
      <c r="J3315">
        <f>IF(A3315="","",TEXT(A3315,"mmm-yyyy"))</f>
        <v/>
      </c>
    </row>
    <row r="3316">
      <c r="D3316">
        <f>IFERROR(XLOOKUP(C3316,'Vendor Master'!$A$6:$A$15,'Vendor Master'!$B$6:$B$15,""),"")</f>
        <v/>
      </c>
      <c r="J3316">
        <f>IF(A3316="","",TEXT(A3316,"mmm-yyyy"))</f>
        <v/>
      </c>
    </row>
    <row r="3317">
      <c r="D3317">
        <f>IFERROR(XLOOKUP(C3317,'Vendor Master'!$A$6:$A$15,'Vendor Master'!$B$6:$B$15,""),"")</f>
        <v/>
      </c>
      <c r="J3317">
        <f>IF(A3317="","",TEXT(A3317,"mmm-yyyy"))</f>
        <v/>
      </c>
    </row>
    <row r="3318">
      <c r="D3318">
        <f>IFERROR(XLOOKUP(C3318,'Vendor Master'!$A$6:$A$15,'Vendor Master'!$B$6:$B$15,""),"")</f>
        <v/>
      </c>
      <c r="J3318">
        <f>IF(A3318="","",TEXT(A3318,"mmm-yyyy"))</f>
        <v/>
      </c>
    </row>
    <row r="3319">
      <c r="D3319">
        <f>IFERROR(XLOOKUP(C3319,'Vendor Master'!$A$6:$A$15,'Vendor Master'!$B$6:$B$15,""),"")</f>
        <v/>
      </c>
      <c r="J3319">
        <f>IF(A3319="","",TEXT(A3319,"mmm-yyyy"))</f>
        <v/>
      </c>
    </row>
    <row r="3320">
      <c r="D3320">
        <f>IFERROR(XLOOKUP(C3320,'Vendor Master'!$A$6:$A$15,'Vendor Master'!$B$6:$B$15,""),"")</f>
        <v/>
      </c>
      <c r="J3320">
        <f>IF(A3320="","",TEXT(A3320,"mmm-yyyy"))</f>
        <v/>
      </c>
    </row>
    <row r="3321">
      <c r="D3321">
        <f>IFERROR(XLOOKUP(C3321,'Vendor Master'!$A$6:$A$15,'Vendor Master'!$B$6:$B$15,""),"")</f>
        <v/>
      </c>
      <c r="J3321">
        <f>IF(A3321="","",TEXT(A3321,"mmm-yyyy"))</f>
        <v/>
      </c>
    </row>
    <row r="3322">
      <c r="D3322">
        <f>IFERROR(XLOOKUP(C3322,'Vendor Master'!$A$6:$A$15,'Vendor Master'!$B$6:$B$15,""),"")</f>
        <v/>
      </c>
      <c r="J3322">
        <f>IF(A3322="","",TEXT(A3322,"mmm-yyyy"))</f>
        <v/>
      </c>
    </row>
    <row r="3323">
      <c r="D3323">
        <f>IFERROR(XLOOKUP(C3323,'Vendor Master'!$A$6:$A$15,'Vendor Master'!$B$6:$B$15,""),"")</f>
        <v/>
      </c>
      <c r="J3323">
        <f>IF(A3323="","",TEXT(A3323,"mmm-yyyy"))</f>
        <v/>
      </c>
    </row>
    <row r="3324">
      <c r="D3324">
        <f>IFERROR(XLOOKUP(C3324,'Vendor Master'!$A$6:$A$15,'Vendor Master'!$B$6:$B$15,""),"")</f>
        <v/>
      </c>
      <c r="J3324">
        <f>IF(A3324="","",TEXT(A3324,"mmm-yyyy"))</f>
        <v/>
      </c>
    </row>
    <row r="3325">
      <c r="D3325">
        <f>IFERROR(XLOOKUP(C3325,'Vendor Master'!$A$6:$A$15,'Vendor Master'!$B$6:$B$15,""),"")</f>
        <v/>
      </c>
      <c r="J3325">
        <f>IF(A3325="","",TEXT(A3325,"mmm-yyyy"))</f>
        <v/>
      </c>
    </row>
    <row r="3326">
      <c r="D3326">
        <f>IFERROR(XLOOKUP(C3326,'Vendor Master'!$A$6:$A$15,'Vendor Master'!$B$6:$B$15,""),"")</f>
        <v/>
      </c>
      <c r="J3326">
        <f>IF(A3326="","",TEXT(A3326,"mmm-yyyy"))</f>
        <v/>
      </c>
    </row>
    <row r="3327">
      <c r="D3327">
        <f>IFERROR(XLOOKUP(C3327,'Vendor Master'!$A$6:$A$15,'Vendor Master'!$B$6:$B$15,""),"")</f>
        <v/>
      </c>
      <c r="J3327">
        <f>IF(A3327="","",TEXT(A3327,"mmm-yyyy"))</f>
        <v/>
      </c>
    </row>
    <row r="3328">
      <c r="D3328">
        <f>IFERROR(XLOOKUP(C3328,'Vendor Master'!$A$6:$A$15,'Vendor Master'!$B$6:$B$15,""),"")</f>
        <v/>
      </c>
      <c r="J3328">
        <f>IF(A3328="","",TEXT(A3328,"mmm-yyyy"))</f>
        <v/>
      </c>
    </row>
    <row r="3329">
      <c r="D3329">
        <f>IFERROR(XLOOKUP(C3329,'Vendor Master'!$A$6:$A$15,'Vendor Master'!$B$6:$B$15,""),"")</f>
        <v/>
      </c>
      <c r="J3329">
        <f>IF(A3329="","",TEXT(A3329,"mmm-yyyy"))</f>
        <v/>
      </c>
    </row>
    <row r="3330">
      <c r="D3330">
        <f>IFERROR(XLOOKUP(C3330,'Vendor Master'!$A$6:$A$15,'Vendor Master'!$B$6:$B$15,""),"")</f>
        <v/>
      </c>
      <c r="J3330">
        <f>IF(A3330="","",TEXT(A3330,"mmm-yyyy"))</f>
        <v/>
      </c>
    </row>
    <row r="3331">
      <c r="D3331">
        <f>IFERROR(XLOOKUP(C3331,'Vendor Master'!$A$6:$A$15,'Vendor Master'!$B$6:$B$15,""),"")</f>
        <v/>
      </c>
      <c r="J3331">
        <f>IF(A3331="","",TEXT(A3331,"mmm-yyyy"))</f>
        <v/>
      </c>
    </row>
    <row r="3332">
      <c r="D3332">
        <f>IFERROR(XLOOKUP(C3332,'Vendor Master'!$A$6:$A$15,'Vendor Master'!$B$6:$B$15,""),"")</f>
        <v/>
      </c>
      <c r="J3332">
        <f>IF(A3332="","",TEXT(A3332,"mmm-yyyy"))</f>
        <v/>
      </c>
    </row>
    <row r="3333">
      <c r="D3333">
        <f>IFERROR(XLOOKUP(C3333,'Vendor Master'!$A$6:$A$15,'Vendor Master'!$B$6:$B$15,""),"")</f>
        <v/>
      </c>
      <c r="J3333">
        <f>IF(A3333="","",TEXT(A3333,"mmm-yyyy"))</f>
        <v/>
      </c>
    </row>
    <row r="3334">
      <c r="D3334">
        <f>IFERROR(XLOOKUP(C3334,'Vendor Master'!$A$6:$A$15,'Vendor Master'!$B$6:$B$15,""),"")</f>
        <v/>
      </c>
      <c r="J3334">
        <f>IF(A3334="","",TEXT(A3334,"mmm-yyyy"))</f>
        <v/>
      </c>
    </row>
    <row r="3335">
      <c r="D3335">
        <f>IFERROR(XLOOKUP(C3335,'Vendor Master'!$A$6:$A$15,'Vendor Master'!$B$6:$B$15,""),"")</f>
        <v/>
      </c>
      <c r="J3335">
        <f>IF(A3335="","",TEXT(A3335,"mmm-yyyy"))</f>
        <v/>
      </c>
    </row>
    <row r="3336">
      <c r="D3336">
        <f>IFERROR(XLOOKUP(C3336,'Vendor Master'!$A$6:$A$15,'Vendor Master'!$B$6:$B$15,""),"")</f>
        <v/>
      </c>
      <c r="J3336">
        <f>IF(A3336="","",TEXT(A3336,"mmm-yyyy"))</f>
        <v/>
      </c>
    </row>
    <row r="3337">
      <c r="D3337">
        <f>IFERROR(XLOOKUP(C3337,'Vendor Master'!$A$6:$A$15,'Vendor Master'!$B$6:$B$15,""),"")</f>
        <v/>
      </c>
      <c r="J3337">
        <f>IF(A3337="","",TEXT(A3337,"mmm-yyyy"))</f>
        <v/>
      </c>
    </row>
    <row r="3338">
      <c r="D3338">
        <f>IFERROR(XLOOKUP(C3338,'Vendor Master'!$A$6:$A$15,'Vendor Master'!$B$6:$B$15,""),"")</f>
        <v/>
      </c>
      <c r="J3338">
        <f>IF(A3338="","",TEXT(A3338,"mmm-yyyy"))</f>
        <v/>
      </c>
    </row>
    <row r="3339">
      <c r="D3339">
        <f>IFERROR(XLOOKUP(C3339,'Vendor Master'!$A$6:$A$15,'Vendor Master'!$B$6:$B$15,""),"")</f>
        <v/>
      </c>
      <c r="J3339">
        <f>IF(A3339="","",TEXT(A3339,"mmm-yyyy"))</f>
        <v/>
      </c>
    </row>
    <row r="3340">
      <c r="D3340">
        <f>IFERROR(XLOOKUP(C3340,'Vendor Master'!$A$6:$A$15,'Vendor Master'!$B$6:$B$15,""),"")</f>
        <v/>
      </c>
      <c r="J3340">
        <f>IF(A3340="","",TEXT(A3340,"mmm-yyyy"))</f>
        <v/>
      </c>
    </row>
    <row r="3341">
      <c r="D3341">
        <f>IFERROR(XLOOKUP(C3341,'Vendor Master'!$A$6:$A$15,'Vendor Master'!$B$6:$B$15,""),"")</f>
        <v/>
      </c>
      <c r="J3341">
        <f>IF(A3341="","",TEXT(A3341,"mmm-yyyy"))</f>
        <v/>
      </c>
    </row>
    <row r="3342">
      <c r="D3342">
        <f>IFERROR(XLOOKUP(C3342,'Vendor Master'!$A$6:$A$15,'Vendor Master'!$B$6:$B$15,""),"")</f>
        <v/>
      </c>
      <c r="J3342">
        <f>IF(A3342="","",TEXT(A3342,"mmm-yyyy"))</f>
        <v/>
      </c>
    </row>
    <row r="3343">
      <c r="D3343">
        <f>IFERROR(XLOOKUP(C3343,'Vendor Master'!$A$6:$A$15,'Vendor Master'!$B$6:$B$15,""),"")</f>
        <v/>
      </c>
      <c r="J3343">
        <f>IF(A3343="","",TEXT(A3343,"mmm-yyyy"))</f>
        <v/>
      </c>
    </row>
    <row r="3344">
      <c r="D3344">
        <f>IFERROR(XLOOKUP(C3344,'Vendor Master'!$A$6:$A$15,'Vendor Master'!$B$6:$B$15,""),"")</f>
        <v/>
      </c>
      <c r="J3344">
        <f>IF(A3344="","",TEXT(A3344,"mmm-yyyy"))</f>
        <v/>
      </c>
    </row>
    <row r="3345">
      <c r="D3345">
        <f>IFERROR(XLOOKUP(C3345,'Vendor Master'!$A$6:$A$15,'Vendor Master'!$B$6:$B$15,""),"")</f>
        <v/>
      </c>
      <c r="J3345">
        <f>IF(A3345="","",TEXT(A3345,"mmm-yyyy"))</f>
        <v/>
      </c>
    </row>
    <row r="3346">
      <c r="D3346">
        <f>IFERROR(XLOOKUP(C3346,'Vendor Master'!$A$6:$A$15,'Vendor Master'!$B$6:$B$15,""),"")</f>
        <v/>
      </c>
      <c r="J3346">
        <f>IF(A3346="","",TEXT(A3346,"mmm-yyyy"))</f>
        <v/>
      </c>
    </row>
    <row r="3347">
      <c r="D3347">
        <f>IFERROR(XLOOKUP(C3347,'Vendor Master'!$A$6:$A$15,'Vendor Master'!$B$6:$B$15,""),"")</f>
        <v/>
      </c>
      <c r="J3347">
        <f>IF(A3347="","",TEXT(A3347,"mmm-yyyy"))</f>
        <v/>
      </c>
    </row>
    <row r="3348">
      <c r="D3348">
        <f>IFERROR(XLOOKUP(C3348,'Vendor Master'!$A$6:$A$15,'Vendor Master'!$B$6:$B$15,""),"")</f>
        <v/>
      </c>
      <c r="J3348">
        <f>IF(A3348="","",TEXT(A3348,"mmm-yyyy"))</f>
        <v/>
      </c>
    </row>
    <row r="3349">
      <c r="D3349">
        <f>IFERROR(XLOOKUP(C3349,'Vendor Master'!$A$6:$A$15,'Vendor Master'!$B$6:$B$15,""),"")</f>
        <v/>
      </c>
      <c r="J3349">
        <f>IF(A3349="","",TEXT(A3349,"mmm-yyyy"))</f>
        <v/>
      </c>
    </row>
    <row r="3350">
      <c r="D3350">
        <f>IFERROR(XLOOKUP(C3350,'Vendor Master'!$A$6:$A$15,'Vendor Master'!$B$6:$B$15,""),"")</f>
        <v/>
      </c>
      <c r="J3350">
        <f>IF(A3350="","",TEXT(A3350,"mmm-yyyy"))</f>
        <v/>
      </c>
    </row>
    <row r="3351">
      <c r="D3351">
        <f>IFERROR(XLOOKUP(C3351,'Vendor Master'!$A$6:$A$15,'Vendor Master'!$B$6:$B$15,""),"")</f>
        <v/>
      </c>
      <c r="J3351">
        <f>IF(A3351="","",TEXT(A3351,"mmm-yyyy"))</f>
        <v/>
      </c>
    </row>
    <row r="3352">
      <c r="D3352">
        <f>IFERROR(XLOOKUP(C3352,'Vendor Master'!$A$6:$A$15,'Vendor Master'!$B$6:$B$15,""),"")</f>
        <v/>
      </c>
      <c r="J3352">
        <f>IF(A3352="","",TEXT(A3352,"mmm-yyyy"))</f>
        <v/>
      </c>
    </row>
    <row r="3353">
      <c r="D3353">
        <f>IFERROR(XLOOKUP(C3353,'Vendor Master'!$A$6:$A$15,'Vendor Master'!$B$6:$B$15,""),"")</f>
        <v/>
      </c>
      <c r="J3353">
        <f>IF(A3353="","",TEXT(A3353,"mmm-yyyy"))</f>
        <v/>
      </c>
    </row>
    <row r="3354">
      <c r="D3354">
        <f>IFERROR(XLOOKUP(C3354,'Vendor Master'!$A$6:$A$15,'Vendor Master'!$B$6:$B$15,""),"")</f>
        <v/>
      </c>
      <c r="J3354">
        <f>IF(A3354="","",TEXT(A3354,"mmm-yyyy"))</f>
        <v/>
      </c>
    </row>
    <row r="3355">
      <c r="D3355">
        <f>IFERROR(XLOOKUP(C3355,'Vendor Master'!$A$6:$A$15,'Vendor Master'!$B$6:$B$15,""),"")</f>
        <v/>
      </c>
      <c r="J3355">
        <f>IF(A3355="","",TEXT(A3355,"mmm-yyyy"))</f>
        <v/>
      </c>
    </row>
    <row r="3356">
      <c r="D3356">
        <f>IFERROR(XLOOKUP(C3356,'Vendor Master'!$A$6:$A$15,'Vendor Master'!$B$6:$B$15,""),"")</f>
        <v/>
      </c>
      <c r="J3356">
        <f>IF(A3356="","",TEXT(A3356,"mmm-yyyy"))</f>
        <v/>
      </c>
    </row>
    <row r="3357">
      <c r="D3357">
        <f>IFERROR(XLOOKUP(C3357,'Vendor Master'!$A$6:$A$15,'Vendor Master'!$B$6:$B$15,""),"")</f>
        <v/>
      </c>
      <c r="J3357">
        <f>IF(A3357="","",TEXT(A3357,"mmm-yyyy"))</f>
        <v/>
      </c>
    </row>
    <row r="3358">
      <c r="D3358">
        <f>IFERROR(XLOOKUP(C3358,'Vendor Master'!$A$6:$A$15,'Vendor Master'!$B$6:$B$15,""),"")</f>
        <v/>
      </c>
      <c r="J3358">
        <f>IF(A3358="","",TEXT(A3358,"mmm-yyyy"))</f>
        <v/>
      </c>
    </row>
    <row r="3359">
      <c r="D3359">
        <f>IFERROR(XLOOKUP(C3359,'Vendor Master'!$A$6:$A$15,'Vendor Master'!$B$6:$B$15,""),"")</f>
        <v/>
      </c>
      <c r="J3359">
        <f>IF(A3359="","",TEXT(A3359,"mmm-yyyy"))</f>
        <v/>
      </c>
    </row>
    <row r="3360">
      <c r="D3360">
        <f>IFERROR(XLOOKUP(C3360,'Vendor Master'!$A$6:$A$15,'Vendor Master'!$B$6:$B$15,""),"")</f>
        <v/>
      </c>
      <c r="J3360">
        <f>IF(A3360="","",TEXT(A3360,"mmm-yyyy"))</f>
        <v/>
      </c>
    </row>
    <row r="3361">
      <c r="D3361">
        <f>IFERROR(XLOOKUP(C3361,'Vendor Master'!$A$6:$A$15,'Vendor Master'!$B$6:$B$15,""),"")</f>
        <v/>
      </c>
      <c r="J3361">
        <f>IF(A3361="","",TEXT(A3361,"mmm-yyyy"))</f>
        <v/>
      </c>
    </row>
    <row r="3362">
      <c r="D3362">
        <f>IFERROR(XLOOKUP(C3362,'Vendor Master'!$A$6:$A$15,'Vendor Master'!$B$6:$B$15,""),"")</f>
        <v/>
      </c>
      <c r="J3362">
        <f>IF(A3362="","",TEXT(A3362,"mmm-yyyy"))</f>
        <v/>
      </c>
    </row>
    <row r="3363">
      <c r="D3363">
        <f>IFERROR(XLOOKUP(C3363,'Vendor Master'!$A$6:$A$15,'Vendor Master'!$B$6:$B$15,""),"")</f>
        <v/>
      </c>
      <c r="J3363">
        <f>IF(A3363="","",TEXT(A3363,"mmm-yyyy"))</f>
        <v/>
      </c>
    </row>
    <row r="3364">
      <c r="D3364">
        <f>IFERROR(XLOOKUP(C3364,'Vendor Master'!$A$6:$A$15,'Vendor Master'!$B$6:$B$15,""),"")</f>
        <v/>
      </c>
      <c r="J3364">
        <f>IF(A3364="","",TEXT(A3364,"mmm-yyyy"))</f>
        <v/>
      </c>
    </row>
    <row r="3365">
      <c r="D3365">
        <f>IFERROR(XLOOKUP(C3365,'Vendor Master'!$A$6:$A$15,'Vendor Master'!$B$6:$B$15,""),"")</f>
        <v/>
      </c>
      <c r="J3365">
        <f>IF(A3365="","",TEXT(A3365,"mmm-yyyy"))</f>
        <v/>
      </c>
    </row>
    <row r="3366">
      <c r="D3366">
        <f>IFERROR(XLOOKUP(C3366,'Vendor Master'!$A$6:$A$15,'Vendor Master'!$B$6:$B$15,""),"")</f>
        <v/>
      </c>
      <c r="J3366">
        <f>IF(A3366="","",TEXT(A3366,"mmm-yyyy"))</f>
        <v/>
      </c>
    </row>
    <row r="3367">
      <c r="D3367">
        <f>IFERROR(XLOOKUP(C3367,'Vendor Master'!$A$6:$A$15,'Vendor Master'!$B$6:$B$15,""),"")</f>
        <v/>
      </c>
      <c r="J3367">
        <f>IF(A3367="","",TEXT(A3367,"mmm-yyyy"))</f>
        <v/>
      </c>
    </row>
    <row r="3368">
      <c r="D3368">
        <f>IFERROR(XLOOKUP(C3368,'Vendor Master'!$A$6:$A$15,'Vendor Master'!$B$6:$B$15,""),"")</f>
        <v/>
      </c>
      <c r="J3368">
        <f>IF(A3368="","",TEXT(A3368,"mmm-yyyy"))</f>
        <v/>
      </c>
    </row>
    <row r="3369">
      <c r="D3369">
        <f>IFERROR(XLOOKUP(C3369,'Vendor Master'!$A$6:$A$15,'Vendor Master'!$B$6:$B$15,""),"")</f>
        <v/>
      </c>
      <c r="J3369">
        <f>IF(A3369="","",TEXT(A3369,"mmm-yyyy"))</f>
        <v/>
      </c>
    </row>
    <row r="3370">
      <c r="D3370">
        <f>IFERROR(XLOOKUP(C3370,'Vendor Master'!$A$6:$A$15,'Vendor Master'!$B$6:$B$15,""),"")</f>
        <v/>
      </c>
      <c r="J3370">
        <f>IF(A3370="","",TEXT(A3370,"mmm-yyyy"))</f>
        <v/>
      </c>
    </row>
    <row r="3371">
      <c r="D3371">
        <f>IFERROR(XLOOKUP(C3371,'Vendor Master'!$A$6:$A$15,'Vendor Master'!$B$6:$B$15,""),"")</f>
        <v/>
      </c>
      <c r="J3371">
        <f>IF(A3371="","",TEXT(A3371,"mmm-yyyy"))</f>
        <v/>
      </c>
    </row>
    <row r="3372">
      <c r="D3372">
        <f>IFERROR(XLOOKUP(C3372,'Vendor Master'!$A$6:$A$15,'Vendor Master'!$B$6:$B$15,""),"")</f>
        <v/>
      </c>
      <c r="J3372">
        <f>IF(A3372="","",TEXT(A3372,"mmm-yyyy"))</f>
        <v/>
      </c>
    </row>
    <row r="3373">
      <c r="D3373">
        <f>IFERROR(XLOOKUP(C3373,'Vendor Master'!$A$6:$A$15,'Vendor Master'!$B$6:$B$15,""),"")</f>
        <v/>
      </c>
      <c r="J3373">
        <f>IF(A3373="","",TEXT(A3373,"mmm-yyyy"))</f>
        <v/>
      </c>
    </row>
    <row r="3374">
      <c r="D3374">
        <f>IFERROR(XLOOKUP(C3374,'Vendor Master'!$A$6:$A$15,'Vendor Master'!$B$6:$B$15,""),"")</f>
        <v/>
      </c>
      <c r="J3374">
        <f>IF(A3374="","",TEXT(A3374,"mmm-yyyy"))</f>
        <v/>
      </c>
    </row>
    <row r="3375">
      <c r="D3375">
        <f>IFERROR(XLOOKUP(C3375,'Vendor Master'!$A$6:$A$15,'Vendor Master'!$B$6:$B$15,""),"")</f>
        <v/>
      </c>
      <c r="J3375">
        <f>IF(A3375="","",TEXT(A3375,"mmm-yyyy"))</f>
        <v/>
      </c>
    </row>
    <row r="3376">
      <c r="D3376">
        <f>IFERROR(XLOOKUP(C3376,'Vendor Master'!$A$6:$A$15,'Vendor Master'!$B$6:$B$15,""),"")</f>
        <v/>
      </c>
      <c r="J3376">
        <f>IF(A3376="","",TEXT(A3376,"mmm-yyyy"))</f>
        <v/>
      </c>
    </row>
    <row r="3377">
      <c r="D3377">
        <f>IFERROR(XLOOKUP(C3377,'Vendor Master'!$A$6:$A$15,'Vendor Master'!$B$6:$B$15,""),"")</f>
        <v/>
      </c>
      <c r="J3377">
        <f>IF(A3377="","",TEXT(A3377,"mmm-yyyy"))</f>
        <v/>
      </c>
    </row>
    <row r="3378">
      <c r="D3378">
        <f>IFERROR(XLOOKUP(C3378,'Vendor Master'!$A$6:$A$15,'Vendor Master'!$B$6:$B$15,""),"")</f>
        <v/>
      </c>
      <c r="J3378">
        <f>IF(A3378="","",TEXT(A3378,"mmm-yyyy"))</f>
        <v/>
      </c>
    </row>
    <row r="3379">
      <c r="D3379">
        <f>IFERROR(XLOOKUP(C3379,'Vendor Master'!$A$6:$A$15,'Vendor Master'!$B$6:$B$15,""),"")</f>
        <v/>
      </c>
      <c r="J3379">
        <f>IF(A3379="","",TEXT(A3379,"mmm-yyyy"))</f>
        <v/>
      </c>
    </row>
    <row r="3380">
      <c r="D3380">
        <f>IFERROR(XLOOKUP(C3380,'Vendor Master'!$A$6:$A$15,'Vendor Master'!$B$6:$B$15,""),"")</f>
        <v/>
      </c>
      <c r="J3380">
        <f>IF(A3380="","",TEXT(A3380,"mmm-yyyy"))</f>
        <v/>
      </c>
    </row>
    <row r="3381">
      <c r="D3381">
        <f>IFERROR(XLOOKUP(C3381,'Vendor Master'!$A$6:$A$15,'Vendor Master'!$B$6:$B$15,""),"")</f>
        <v/>
      </c>
      <c r="J3381">
        <f>IF(A3381="","",TEXT(A3381,"mmm-yyyy"))</f>
        <v/>
      </c>
    </row>
    <row r="3382">
      <c r="D3382">
        <f>IFERROR(XLOOKUP(C3382,'Vendor Master'!$A$6:$A$15,'Vendor Master'!$B$6:$B$15,""),"")</f>
        <v/>
      </c>
      <c r="J3382">
        <f>IF(A3382="","",TEXT(A3382,"mmm-yyyy"))</f>
        <v/>
      </c>
    </row>
    <row r="3383">
      <c r="D3383">
        <f>IFERROR(XLOOKUP(C3383,'Vendor Master'!$A$6:$A$15,'Vendor Master'!$B$6:$B$15,""),"")</f>
        <v/>
      </c>
      <c r="J3383">
        <f>IF(A3383="","",TEXT(A3383,"mmm-yyyy"))</f>
        <v/>
      </c>
    </row>
    <row r="3384">
      <c r="D3384">
        <f>IFERROR(XLOOKUP(C3384,'Vendor Master'!$A$6:$A$15,'Vendor Master'!$B$6:$B$15,""),"")</f>
        <v/>
      </c>
      <c r="J3384">
        <f>IF(A3384="","",TEXT(A3384,"mmm-yyyy"))</f>
        <v/>
      </c>
    </row>
    <row r="3385">
      <c r="D3385">
        <f>IFERROR(XLOOKUP(C3385,'Vendor Master'!$A$6:$A$15,'Vendor Master'!$B$6:$B$15,""),"")</f>
        <v/>
      </c>
      <c r="J3385">
        <f>IF(A3385="","",TEXT(A3385,"mmm-yyyy"))</f>
        <v/>
      </c>
    </row>
    <row r="3386">
      <c r="D3386">
        <f>IFERROR(XLOOKUP(C3386,'Vendor Master'!$A$6:$A$15,'Vendor Master'!$B$6:$B$15,""),"")</f>
        <v/>
      </c>
      <c r="J3386">
        <f>IF(A3386="","",TEXT(A3386,"mmm-yyyy"))</f>
        <v/>
      </c>
    </row>
    <row r="3387">
      <c r="D3387">
        <f>IFERROR(XLOOKUP(C3387,'Vendor Master'!$A$6:$A$15,'Vendor Master'!$B$6:$B$15,""),"")</f>
        <v/>
      </c>
      <c r="J3387">
        <f>IF(A3387="","",TEXT(A3387,"mmm-yyyy"))</f>
        <v/>
      </c>
    </row>
    <row r="3388">
      <c r="D3388">
        <f>IFERROR(XLOOKUP(C3388,'Vendor Master'!$A$6:$A$15,'Vendor Master'!$B$6:$B$15,""),"")</f>
        <v/>
      </c>
      <c r="J3388">
        <f>IF(A3388="","",TEXT(A3388,"mmm-yyyy"))</f>
        <v/>
      </c>
    </row>
    <row r="3389">
      <c r="D3389">
        <f>IFERROR(XLOOKUP(C3389,'Vendor Master'!$A$6:$A$15,'Vendor Master'!$B$6:$B$15,""),"")</f>
        <v/>
      </c>
      <c r="J3389">
        <f>IF(A3389="","",TEXT(A3389,"mmm-yyyy"))</f>
        <v/>
      </c>
    </row>
    <row r="3390">
      <c r="D3390">
        <f>IFERROR(XLOOKUP(C3390,'Vendor Master'!$A$6:$A$15,'Vendor Master'!$B$6:$B$15,""),"")</f>
        <v/>
      </c>
      <c r="J3390">
        <f>IF(A3390="","",TEXT(A3390,"mmm-yyyy"))</f>
        <v/>
      </c>
    </row>
    <row r="3391">
      <c r="D3391">
        <f>IFERROR(XLOOKUP(C3391,'Vendor Master'!$A$6:$A$15,'Vendor Master'!$B$6:$B$15,""),"")</f>
        <v/>
      </c>
      <c r="J3391">
        <f>IF(A3391="","",TEXT(A3391,"mmm-yyyy"))</f>
        <v/>
      </c>
    </row>
    <row r="3392">
      <c r="D3392">
        <f>IFERROR(XLOOKUP(C3392,'Vendor Master'!$A$6:$A$15,'Vendor Master'!$B$6:$B$15,""),"")</f>
        <v/>
      </c>
      <c r="J3392">
        <f>IF(A3392="","",TEXT(A3392,"mmm-yyyy"))</f>
        <v/>
      </c>
    </row>
    <row r="3393">
      <c r="D3393">
        <f>IFERROR(XLOOKUP(C3393,'Vendor Master'!$A$6:$A$15,'Vendor Master'!$B$6:$B$15,""),"")</f>
        <v/>
      </c>
      <c r="J3393">
        <f>IF(A3393="","",TEXT(A3393,"mmm-yyyy"))</f>
        <v/>
      </c>
    </row>
    <row r="3394">
      <c r="D3394">
        <f>IFERROR(XLOOKUP(C3394,'Vendor Master'!$A$6:$A$15,'Vendor Master'!$B$6:$B$15,""),"")</f>
        <v/>
      </c>
      <c r="J3394">
        <f>IF(A3394="","",TEXT(A3394,"mmm-yyyy"))</f>
        <v/>
      </c>
    </row>
    <row r="3395">
      <c r="D3395">
        <f>IFERROR(XLOOKUP(C3395,'Vendor Master'!$A$6:$A$15,'Vendor Master'!$B$6:$B$15,""),"")</f>
        <v/>
      </c>
      <c r="J3395">
        <f>IF(A3395="","",TEXT(A3395,"mmm-yyyy"))</f>
        <v/>
      </c>
    </row>
    <row r="3396">
      <c r="D3396">
        <f>IFERROR(XLOOKUP(C3396,'Vendor Master'!$A$6:$A$15,'Vendor Master'!$B$6:$B$15,""),"")</f>
        <v/>
      </c>
      <c r="J3396">
        <f>IF(A3396="","",TEXT(A3396,"mmm-yyyy"))</f>
        <v/>
      </c>
    </row>
    <row r="3397">
      <c r="D3397">
        <f>IFERROR(XLOOKUP(C3397,'Vendor Master'!$A$6:$A$15,'Vendor Master'!$B$6:$B$15,""),"")</f>
        <v/>
      </c>
      <c r="J3397">
        <f>IF(A3397="","",TEXT(A3397,"mmm-yyyy"))</f>
        <v/>
      </c>
    </row>
    <row r="3398">
      <c r="D3398">
        <f>IFERROR(XLOOKUP(C3398,'Vendor Master'!$A$6:$A$15,'Vendor Master'!$B$6:$B$15,""),"")</f>
        <v/>
      </c>
      <c r="J3398">
        <f>IF(A3398="","",TEXT(A3398,"mmm-yyyy"))</f>
        <v/>
      </c>
    </row>
    <row r="3399">
      <c r="D3399">
        <f>IFERROR(XLOOKUP(C3399,'Vendor Master'!$A$6:$A$15,'Vendor Master'!$B$6:$B$15,""),"")</f>
        <v/>
      </c>
      <c r="J3399">
        <f>IF(A3399="","",TEXT(A3399,"mmm-yyyy"))</f>
        <v/>
      </c>
    </row>
    <row r="3400">
      <c r="D3400">
        <f>IFERROR(XLOOKUP(C3400,'Vendor Master'!$A$6:$A$15,'Vendor Master'!$B$6:$B$15,""),"")</f>
        <v/>
      </c>
      <c r="J3400">
        <f>IF(A3400="","",TEXT(A3400,"mmm-yyyy"))</f>
        <v/>
      </c>
    </row>
    <row r="3401">
      <c r="D3401">
        <f>IFERROR(XLOOKUP(C3401,'Vendor Master'!$A$6:$A$15,'Vendor Master'!$B$6:$B$15,""),"")</f>
        <v/>
      </c>
      <c r="J3401">
        <f>IF(A3401="","",TEXT(A3401,"mmm-yyyy"))</f>
        <v/>
      </c>
    </row>
    <row r="3402">
      <c r="D3402">
        <f>IFERROR(XLOOKUP(C3402,'Vendor Master'!$A$6:$A$15,'Vendor Master'!$B$6:$B$15,""),"")</f>
        <v/>
      </c>
      <c r="J3402">
        <f>IF(A3402="","",TEXT(A3402,"mmm-yyyy"))</f>
        <v/>
      </c>
    </row>
    <row r="3403">
      <c r="D3403">
        <f>IFERROR(XLOOKUP(C3403,'Vendor Master'!$A$6:$A$15,'Vendor Master'!$B$6:$B$15,""),"")</f>
        <v/>
      </c>
      <c r="J3403">
        <f>IF(A3403="","",TEXT(A3403,"mmm-yyyy"))</f>
        <v/>
      </c>
    </row>
    <row r="3404">
      <c r="D3404">
        <f>IFERROR(XLOOKUP(C3404,'Vendor Master'!$A$6:$A$15,'Vendor Master'!$B$6:$B$15,""),"")</f>
        <v/>
      </c>
      <c r="J3404">
        <f>IF(A3404="","",TEXT(A3404,"mmm-yyyy"))</f>
        <v/>
      </c>
    </row>
    <row r="3405">
      <c r="D3405">
        <f>IFERROR(XLOOKUP(C3405,'Vendor Master'!$A$6:$A$15,'Vendor Master'!$B$6:$B$15,""),"")</f>
        <v/>
      </c>
      <c r="J3405">
        <f>IF(A3405="","",TEXT(A3405,"mmm-yyyy"))</f>
        <v/>
      </c>
    </row>
    <row r="3406">
      <c r="D3406">
        <f>IFERROR(XLOOKUP(C3406,'Vendor Master'!$A$6:$A$15,'Vendor Master'!$B$6:$B$15,""),"")</f>
        <v/>
      </c>
      <c r="J3406">
        <f>IF(A3406="","",TEXT(A3406,"mmm-yyyy"))</f>
        <v/>
      </c>
    </row>
    <row r="3407">
      <c r="D3407">
        <f>IFERROR(XLOOKUP(C3407,'Vendor Master'!$A$6:$A$15,'Vendor Master'!$B$6:$B$15,""),"")</f>
        <v/>
      </c>
      <c r="J3407">
        <f>IF(A3407="","",TEXT(A3407,"mmm-yyyy"))</f>
        <v/>
      </c>
    </row>
    <row r="3408">
      <c r="D3408">
        <f>IFERROR(XLOOKUP(C3408,'Vendor Master'!$A$6:$A$15,'Vendor Master'!$B$6:$B$15,""),"")</f>
        <v/>
      </c>
      <c r="J3408">
        <f>IF(A3408="","",TEXT(A3408,"mmm-yyyy"))</f>
        <v/>
      </c>
    </row>
    <row r="3409">
      <c r="D3409">
        <f>IFERROR(XLOOKUP(C3409,'Vendor Master'!$A$6:$A$15,'Vendor Master'!$B$6:$B$15,""),"")</f>
        <v/>
      </c>
      <c r="J3409">
        <f>IF(A3409="","",TEXT(A3409,"mmm-yyyy"))</f>
        <v/>
      </c>
    </row>
    <row r="3410">
      <c r="D3410">
        <f>IFERROR(XLOOKUP(C3410,'Vendor Master'!$A$6:$A$15,'Vendor Master'!$B$6:$B$15,""),"")</f>
        <v/>
      </c>
      <c r="J3410">
        <f>IF(A3410="","",TEXT(A3410,"mmm-yyyy"))</f>
        <v/>
      </c>
    </row>
    <row r="3411">
      <c r="D3411">
        <f>IFERROR(XLOOKUP(C3411,'Vendor Master'!$A$6:$A$15,'Vendor Master'!$B$6:$B$15,""),"")</f>
        <v/>
      </c>
      <c r="J3411">
        <f>IF(A3411="","",TEXT(A3411,"mmm-yyyy"))</f>
        <v/>
      </c>
    </row>
    <row r="3412">
      <c r="D3412">
        <f>IFERROR(XLOOKUP(C3412,'Vendor Master'!$A$6:$A$15,'Vendor Master'!$B$6:$B$15,""),"")</f>
        <v/>
      </c>
      <c r="J3412">
        <f>IF(A3412="","",TEXT(A3412,"mmm-yyyy"))</f>
        <v/>
      </c>
    </row>
    <row r="3413">
      <c r="D3413">
        <f>IFERROR(XLOOKUP(C3413,'Vendor Master'!$A$6:$A$15,'Vendor Master'!$B$6:$B$15,""),"")</f>
        <v/>
      </c>
      <c r="J3413">
        <f>IF(A3413="","",TEXT(A3413,"mmm-yyyy"))</f>
        <v/>
      </c>
    </row>
    <row r="3414">
      <c r="D3414">
        <f>IFERROR(XLOOKUP(C3414,'Vendor Master'!$A$6:$A$15,'Vendor Master'!$B$6:$B$15,""),"")</f>
        <v/>
      </c>
      <c r="J3414">
        <f>IF(A3414="","",TEXT(A3414,"mmm-yyyy"))</f>
        <v/>
      </c>
    </row>
    <row r="3415">
      <c r="D3415">
        <f>IFERROR(XLOOKUP(C3415,'Vendor Master'!$A$6:$A$15,'Vendor Master'!$B$6:$B$15,""),"")</f>
        <v/>
      </c>
      <c r="J3415">
        <f>IF(A3415="","",TEXT(A3415,"mmm-yyyy"))</f>
        <v/>
      </c>
    </row>
    <row r="3416">
      <c r="D3416">
        <f>IFERROR(XLOOKUP(C3416,'Vendor Master'!$A$6:$A$15,'Vendor Master'!$B$6:$B$15,""),"")</f>
        <v/>
      </c>
      <c r="J3416">
        <f>IF(A3416="","",TEXT(A3416,"mmm-yyyy"))</f>
        <v/>
      </c>
    </row>
    <row r="3417">
      <c r="D3417">
        <f>IFERROR(XLOOKUP(C3417,'Vendor Master'!$A$6:$A$15,'Vendor Master'!$B$6:$B$15,""),"")</f>
        <v/>
      </c>
      <c r="J3417">
        <f>IF(A3417="","",TEXT(A3417,"mmm-yyyy"))</f>
        <v/>
      </c>
    </row>
    <row r="3418">
      <c r="D3418">
        <f>IFERROR(XLOOKUP(C3418,'Vendor Master'!$A$6:$A$15,'Vendor Master'!$B$6:$B$15,""),"")</f>
        <v/>
      </c>
      <c r="J3418">
        <f>IF(A3418="","",TEXT(A3418,"mmm-yyyy"))</f>
        <v/>
      </c>
    </row>
    <row r="3419">
      <c r="D3419">
        <f>IFERROR(XLOOKUP(C3419,'Vendor Master'!$A$6:$A$15,'Vendor Master'!$B$6:$B$15,""),"")</f>
        <v/>
      </c>
      <c r="J3419">
        <f>IF(A3419="","",TEXT(A3419,"mmm-yyyy"))</f>
        <v/>
      </c>
    </row>
    <row r="3420">
      <c r="D3420">
        <f>IFERROR(XLOOKUP(C3420,'Vendor Master'!$A$6:$A$15,'Vendor Master'!$B$6:$B$15,""),"")</f>
        <v/>
      </c>
      <c r="J3420">
        <f>IF(A3420="","",TEXT(A3420,"mmm-yyyy"))</f>
        <v/>
      </c>
    </row>
    <row r="3421">
      <c r="D3421">
        <f>IFERROR(XLOOKUP(C3421,'Vendor Master'!$A$6:$A$15,'Vendor Master'!$B$6:$B$15,""),"")</f>
        <v/>
      </c>
      <c r="J3421">
        <f>IF(A3421="","",TEXT(A3421,"mmm-yyyy"))</f>
        <v/>
      </c>
    </row>
    <row r="3422">
      <c r="D3422">
        <f>IFERROR(XLOOKUP(C3422,'Vendor Master'!$A$6:$A$15,'Vendor Master'!$B$6:$B$15,""),"")</f>
        <v/>
      </c>
      <c r="J3422">
        <f>IF(A3422="","",TEXT(A3422,"mmm-yyyy"))</f>
        <v/>
      </c>
    </row>
    <row r="3423">
      <c r="D3423">
        <f>IFERROR(XLOOKUP(C3423,'Vendor Master'!$A$6:$A$15,'Vendor Master'!$B$6:$B$15,""),"")</f>
        <v/>
      </c>
      <c r="J3423">
        <f>IF(A3423="","",TEXT(A3423,"mmm-yyyy"))</f>
        <v/>
      </c>
    </row>
    <row r="3424">
      <c r="D3424">
        <f>IFERROR(XLOOKUP(C3424,'Vendor Master'!$A$6:$A$15,'Vendor Master'!$B$6:$B$15,""),"")</f>
        <v/>
      </c>
      <c r="J3424">
        <f>IF(A3424="","",TEXT(A3424,"mmm-yyyy"))</f>
        <v/>
      </c>
    </row>
    <row r="3425">
      <c r="D3425">
        <f>IFERROR(XLOOKUP(C3425,'Vendor Master'!$A$6:$A$15,'Vendor Master'!$B$6:$B$15,""),"")</f>
        <v/>
      </c>
      <c r="J3425">
        <f>IF(A3425="","",TEXT(A3425,"mmm-yyyy"))</f>
        <v/>
      </c>
    </row>
    <row r="3426">
      <c r="D3426">
        <f>IFERROR(XLOOKUP(C3426,'Vendor Master'!$A$6:$A$15,'Vendor Master'!$B$6:$B$15,""),"")</f>
        <v/>
      </c>
      <c r="J3426">
        <f>IF(A3426="","",TEXT(A3426,"mmm-yyyy"))</f>
        <v/>
      </c>
    </row>
    <row r="3427">
      <c r="D3427">
        <f>IFERROR(XLOOKUP(C3427,'Vendor Master'!$A$6:$A$15,'Vendor Master'!$B$6:$B$15,""),"")</f>
        <v/>
      </c>
      <c r="J3427">
        <f>IF(A3427="","",TEXT(A3427,"mmm-yyyy"))</f>
        <v/>
      </c>
    </row>
    <row r="3428">
      <c r="D3428">
        <f>IFERROR(XLOOKUP(C3428,'Vendor Master'!$A$6:$A$15,'Vendor Master'!$B$6:$B$15,""),"")</f>
        <v/>
      </c>
      <c r="J3428">
        <f>IF(A3428="","",TEXT(A3428,"mmm-yyyy"))</f>
        <v/>
      </c>
    </row>
    <row r="3429">
      <c r="D3429">
        <f>IFERROR(XLOOKUP(C3429,'Vendor Master'!$A$6:$A$15,'Vendor Master'!$B$6:$B$15,""),"")</f>
        <v/>
      </c>
      <c r="J3429">
        <f>IF(A3429="","",TEXT(A3429,"mmm-yyyy"))</f>
        <v/>
      </c>
    </row>
    <row r="3430">
      <c r="D3430">
        <f>IFERROR(XLOOKUP(C3430,'Vendor Master'!$A$6:$A$15,'Vendor Master'!$B$6:$B$15,""),"")</f>
        <v/>
      </c>
      <c r="J3430">
        <f>IF(A3430="","",TEXT(A3430,"mmm-yyyy"))</f>
        <v/>
      </c>
    </row>
    <row r="3431">
      <c r="D3431">
        <f>IFERROR(XLOOKUP(C3431,'Vendor Master'!$A$6:$A$15,'Vendor Master'!$B$6:$B$15,""),"")</f>
        <v/>
      </c>
      <c r="J3431">
        <f>IF(A3431="","",TEXT(A3431,"mmm-yyyy"))</f>
        <v/>
      </c>
    </row>
    <row r="3432">
      <c r="D3432">
        <f>IFERROR(XLOOKUP(C3432,'Vendor Master'!$A$6:$A$15,'Vendor Master'!$B$6:$B$15,""),"")</f>
        <v/>
      </c>
      <c r="J3432">
        <f>IF(A3432="","",TEXT(A3432,"mmm-yyyy"))</f>
        <v/>
      </c>
    </row>
    <row r="3433">
      <c r="D3433">
        <f>IFERROR(XLOOKUP(C3433,'Vendor Master'!$A$6:$A$15,'Vendor Master'!$B$6:$B$15,""),"")</f>
        <v/>
      </c>
      <c r="J3433">
        <f>IF(A3433="","",TEXT(A3433,"mmm-yyyy"))</f>
        <v/>
      </c>
    </row>
    <row r="3434">
      <c r="D3434">
        <f>IFERROR(XLOOKUP(C3434,'Vendor Master'!$A$6:$A$15,'Vendor Master'!$B$6:$B$15,""),"")</f>
        <v/>
      </c>
      <c r="J3434">
        <f>IF(A3434="","",TEXT(A3434,"mmm-yyyy"))</f>
        <v/>
      </c>
    </row>
    <row r="3435">
      <c r="D3435">
        <f>IFERROR(XLOOKUP(C3435,'Vendor Master'!$A$6:$A$15,'Vendor Master'!$B$6:$B$15,""),"")</f>
        <v/>
      </c>
      <c r="J3435">
        <f>IF(A3435="","",TEXT(A3435,"mmm-yyyy"))</f>
        <v/>
      </c>
    </row>
    <row r="3436">
      <c r="D3436">
        <f>IFERROR(XLOOKUP(C3436,'Vendor Master'!$A$6:$A$15,'Vendor Master'!$B$6:$B$15,""),"")</f>
        <v/>
      </c>
      <c r="J3436">
        <f>IF(A3436="","",TEXT(A3436,"mmm-yyyy"))</f>
        <v/>
      </c>
    </row>
    <row r="3437">
      <c r="D3437">
        <f>IFERROR(XLOOKUP(C3437,'Vendor Master'!$A$6:$A$15,'Vendor Master'!$B$6:$B$15,""),"")</f>
        <v/>
      </c>
      <c r="J3437">
        <f>IF(A3437="","",TEXT(A3437,"mmm-yyyy"))</f>
        <v/>
      </c>
    </row>
    <row r="3438">
      <c r="D3438">
        <f>IFERROR(XLOOKUP(C3438,'Vendor Master'!$A$6:$A$15,'Vendor Master'!$B$6:$B$15,""),"")</f>
        <v/>
      </c>
      <c r="J3438">
        <f>IF(A3438="","",TEXT(A3438,"mmm-yyyy"))</f>
        <v/>
      </c>
    </row>
    <row r="3439">
      <c r="D3439">
        <f>IFERROR(XLOOKUP(C3439,'Vendor Master'!$A$6:$A$15,'Vendor Master'!$B$6:$B$15,""),"")</f>
        <v/>
      </c>
      <c r="J3439">
        <f>IF(A3439="","",TEXT(A3439,"mmm-yyyy"))</f>
        <v/>
      </c>
    </row>
    <row r="3440">
      <c r="D3440">
        <f>IFERROR(XLOOKUP(C3440,'Vendor Master'!$A$6:$A$15,'Vendor Master'!$B$6:$B$15,""),"")</f>
        <v/>
      </c>
      <c r="J3440">
        <f>IF(A3440="","",TEXT(A3440,"mmm-yyyy"))</f>
        <v/>
      </c>
    </row>
    <row r="3441">
      <c r="D3441">
        <f>IFERROR(XLOOKUP(C3441,'Vendor Master'!$A$6:$A$15,'Vendor Master'!$B$6:$B$15,""),"")</f>
        <v/>
      </c>
      <c r="J3441">
        <f>IF(A3441="","",TEXT(A3441,"mmm-yyyy"))</f>
        <v/>
      </c>
    </row>
    <row r="3442">
      <c r="D3442">
        <f>IFERROR(XLOOKUP(C3442,'Vendor Master'!$A$6:$A$15,'Vendor Master'!$B$6:$B$15,""),"")</f>
        <v/>
      </c>
      <c r="J3442">
        <f>IF(A3442="","",TEXT(A3442,"mmm-yyyy"))</f>
        <v/>
      </c>
    </row>
    <row r="3443">
      <c r="D3443">
        <f>IFERROR(XLOOKUP(C3443,'Vendor Master'!$A$6:$A$15,'Vendor Master'!$B$6:$B$15,""),"")</f>
        <v/>
      </c>
      <c r="J3443">
        <f>IF(A3443="","",TEXT(A3443,"mmm-yyyy"))</f>
        <v/>
      </c>
    </row>
    <row r="3444">
      <c r="D3444">
        <f>IFERROR(XLOOKUP(C3444,'Vendor Master'!$A$6:$A$15,'Vendor Master'!$B$6:$B$15,""),"")</f>
        <v/>
      </c>
      <c r="J3444">
        <f>IF(A3444="","",TEXT(A3444,"mmm-yyyy"))</f>
        <v/>
      </c>
    </row>
    <row r="3445">
      <c r="D3445">
        <f>IFERROR(XLOOKUP(C3445,'Vendor Master'!$A$6:$A$15,'Vendor Master'!$B$6:$B$15,""),"")</f>
        <v/>
      </c>
      <c r="J3445">
        <f>IF(A3445="","",TEXT(A3445,"mmm-yyyy"))</f>
        <v/>
      </c>
    </row>
    <row r="3446">
      <c r="D3446">
        <f>IFERROR(XLOOKUP(C3446,'Vendor Master'!$A$6:$A$15,'Vendor Master'!$B$6:$B$15,""),"")</f>
        <v/>
      </c>
      <c r="J3446">
        <f>IF(A3446="","",TEXT(A3446,"mmm-yyyy"))</f>
        <v/>
      </c>
    </row>
    <row r="3447">
      <c r="D3447">
        <f>IFERROR(XLOOKUP(C3447,'Vendor Master'!$A$6:$A$15,'Vendor Master'!$B$6:$B$15,""),"")</f>
        <v/>
      </c>
      <c r="J3447">
        <f>IF(A3447="","",TEXT(A3447,"mmm-yyyy"))</f>
        <v/>
      </c>
    </row>
    <row r="3448">
      <c r="D3448">
        <f>IFERROR(XLOOKUP(C3448,'Vendor Master'!$A$6:$A$15,'Vendor Master'!$B$6:$B$15,""),"")</f>
        <v/>
      </c>
      <c r="J3448">
        <f>IF(A3448="","",TEXT(A3448,"mmm-yyyy"))</f>
        <v/>
      </c>
    </row>
    <row r="3449">
      <c r="D3449">
        <f>IFERROR(XLOOKUP(C3449,'Vendor Master'!$A$6:$A$15,'Vendor Master'!$B$6:$B$15,""),"")</f>
        <v/>
      </c>
      <c r="J3449">
        <f>IF(A3449="","",TEXT(A3449,"mmm-yyyy"))</f>
        <v/>
      </c>
    </row>
    <row r="3450">
      <c r="D3450">
        <f>IFERROR(XLOOKUP(C3450,'Vendor Master'!$A$6:$A$15,'Vendor Master'!$B$6:$B$15,""),"")</f>
        <v/>
      </c>
      <c r="J3450">
        <f>IF(A3450="","",TEXT(A3450,"mmm-yyyy"))</f>
        <v/>
      </c>
    </row>
    <row r="3451">
      <c r="D3451">
        <f>IFERROR(XLOOKUP(C3451,'Vendor Master'!$A$6:$A$15,'Vendor Master'!$B$6:$B$15,""),"")</f>
        <v/>
      </c>
      <c r="J3451">
        <f>IF(A3451="","",TEXT(A3451,"mmm-yyyy"))</f>
        <v/>
      </c>
    </row>
    <row r="3452">
      <c r="D3452">
        <f>IFERROR(XLOOKUP(C3452,'Vendor Master'!$A$6:$A$15,'Vendor Master'!$B$6:$B$15,""),"")</f>
        <v/>
      </c>
      <c r="J3452">
        <f>IF(A3452="","",TEXT(A3452,"mmm-yyyy"))</f>
        <v/>
      </c>
    </row>
    <row r="3453">
      <c r="D3453">
        <f>IFERROR(XLOOKUP(C3453,'Vendor Master'!$A$6:$A$15,'Vendor Master'!$B$6:$B$15,""),"")</f>
        <v/>
      </c>
      <c r="J3453">
        <f>IF(A3453="","",TEXT(A3453,"mmm-yyyy"))</f>
        <v/>
      </c>
    </row>
    <row r="3454">
      <c r="D3454">
        <f>IFERROR(XLOOKUP(C3454,'Vendor Master'!$A$6:$A$15,'Vendor Master'!$B$6:$B$15,""),"")</f>
        <v/>
      </c>
      <c r="J3454">
        <f>IF(A3454="","",TEXT(A3454,"mmm-yyyy"))</f>
        <v/>
      </c>
    </row>
    <row r="3455">
      <c r="D3455">
        <f>IFERROR(XLOOKUP(C3455,'Vendor Master'!$A$6:$A$15,'Vendor Master'!$B$6:$B$15,""),"")</f>
        <v/>
      </c>
      <c r="J3455">
        <f>IF(A3455="","",TEXT(A3455,"mmm-yyyy"))</f>
        <v/>
      </c>
    </row>
    <row r="3456">
      <c r="D3456">
        <f>IFERROR(XLOOKUP(C3456,'Vendor Master'!$A$6:$A$15,'Vendor Master'!$B$6:$B$15,""),"")</f>
        <v/>
      </c>
      <c r="J3456">
        <f>IF(A3456="","",TEXT(A3456,"mmm-yyyy"))</f>
        <v/>
      </c>
    </row>
    <row r="3457">
      <c r="D3457">
        <f>IFERROR(XLOOKUP(C3457,'Vendor Master'!$A$6:$A$15,'Vendor Master'!$B$6:$B$15,""),"")</f>
        <v/>
      </c>
      <c r="J3457">
        <f>IF(A3457="","",TEXT(A3457,"mmm-yyyy"))</f>
        <v/>
      </c>
    </row>
    <row r="3458">
      <c r="D3458">
        <f>IFERROR(XLOOKUP(C3458,'Vendor Master'!$A$6:$A$15,'Vendor Master'!$B$6:$B$15,""),"")</f>
        <v/>
      </c>
      <c r="J3458">
        <f>IF(A3458="","",TEXT(A3458,"mmm-yyyy"))</f>
        <v/>
      </c>
    </row>
    <row r="3459">
      <c r="D3459">
        <f>IFERROR(XLOOKUP(C3459,'Vendor Master'!$A$6:$A$15,'Vendor Master'!$B$6:$B$15,""),"")</f>
        <v/>
      </c>
      <c r="J3459">
        <f>IF(A3459="","",TEXT(A3459,"mmm-yyyy"))</f>
        <v/>
      </c>
    </row>
    <row r="3460">
      <c r="D3460">
        <f>IFERROR(XLOOKUP(C3460,'Vendor Master'!$A$6:$A$15,'Vendor Master'!$B$6:$B$15,""),"")</f>
        <v/>
      </c>
      <c r="J3460">
        <f>IF(A3460="","",TEXT(A3460,"mmm-yyyy"))</f>
        <v/>
      </c>
    </row>
    <row r="3461">
      <c r="D3461">
        <f>IFERROR(XLOOKUP(C3461,'Vendor Master'!$A$6:$A$15,'Vendor Master'!$B$6:$B$15,""),"")</f>
        <v/>
      </c>
      <c r="J3461">
        <f>IF(A3461="","",TEXT(A3461,"mmm-yyyy"))</f>
        <v/>
      </c>
    </row>
    <row r="3462">
      <c r="D3462">
        <f>IFERROR(XLOOKUP(C3462,'Vendor Master'!$A$6:$A$15,'Vendor Master'!$B$6:$B$15,""),"")</f>
        <v/>
      </c>
      <c r="J3462">
        <f>IF(A3462="","",TEXT(A3462,"mmm-yyyy"))</f>
        <v/>
      </c>
    </row>
    <row r="3463">
      <c r="D3463">
        <f>IFERROR(XLOOKUP(C3463,'Vendor Master'!$A$6:$A$15,'Vendor Master'!$B$6:$B$15,""),"")</f>
        <v/>
      </c>
      <c r="J3463">
        <f>IF(A3463="","",TEXT(A3463,"mmm-yyyy"))</f>
        <v/>
      </c>
    </row>
    <row r="3464">
      <c r="D3464">
        <f>IFERROR(XLOOKUP(C3464,'Vendor Master'!$A$6:$A$15,'Vendor Master'!$B$6:$B$15,""),"")</f>
        <v/>
      </c>
      <c r="J3464">
        <f>IF(A3464="","",TEXT(A3464,"mmm-yyyy"))</f>
        <v/>
      </c>
    </row>
    <row r="3465">
      <c r="D3465">
        <f>IFERROR(XLOOKUP(C3465,'Vendor Master'!$A$6:$A$15,'Vendor Master'!$B$6:$B$15,""),"")</f>
        <v/>
      </c>
      <c r="J3465">
        <f>IF(A3465="","",TEXT(A3465,"mmm-yyyy"))</f>
        <v/>
      </c>
    </row>
    <row r="3466">
      <c r="D3466">
        <f>IFERROR(XLOOKUP(C3466,'Vendor Master'!$A$6:$A$15,'Vendor Master'!$B$6:$B$15,""),"")</f>
        <v/>
      </c>
      <c r="J3466">
        <f>IF(A3466="","",TEXT(A3466,"mmm-yyyy"))</f>
        <v/>
      </c>
    </row>
    <row r="3467">
      <c r="D3467">
        <f>IFERROR(XLOOKUP(C3467,'Vendor Master'!$A$6:$A$15,'Vendor Master'!$B$6:$B$15,""),"")</f>
        <v/>
      </c>
      <c r="J3467">
        <f>IF(A3467="","",TEXT(A3467,"mmm-yyyy"))</f>
        <v/>
      </c>
    </row>
    <row r="3468">
      <c r="D3468">
        <f>IFERROR(XLOOKUP(C3468,'Vendor Master'!$A$6:$A$15,'Vendor Master'!$B$6:$B$15,""),"")</f>
        <v/>
      </c>
      <c r="J3468">
        <f>IF(A3468="","",TEXT(A3468,"mmm-yyyy"))</f>
        <v/>
      </c>
    </row>
    <row r="3469">
      <c r="D3469">
        <f>IFERROR(XLOOKUP(C3469,'Vendor Master'!$A$6:$A$15,'Vendor Master'!$B$6:$B$15,""),"")</f>
        <v/>
      </c>
      <c r="J3469">
        <f>IF(A3469="","",TEXT(A3469,"mmm-yyyy"))</f>
        <v/>
      </c>
    </row>
    <row r="3470">
      <c r="D3470">
        <f>IFERROR(XLOOKUP(C3470,'Vendor Master'!$A$6:$A$15,'Vendor Master'!$B$6:$B$15,""),"")</f>
        <v/>
      </c>
      <c r="J3470">
        <f>IF(A3470="","",TEXT(A3470,"mmm-yyyy"))</f>
        <v/>
      </c>
    </row>
    <row r="3471">
      <c r="D3471">
        <f>IFERROR(XLOOKUP(C3471,'Vendor Master'!$A$6:$A$15,'Vendor Master'!$B$6:$B$15,""),"")</f>
        <v/>
      </c>
      <c r="J3471">
        <f>IF(A3471="","",TEXT(A3471,"mmm-yyyy"))</f>
        <v/>
      </c>
    </row>
    <row r="3472">
      <c r="D3472">
        <f>IFERROR(XLOOKUP(C3472,'Vendor Master'!$A$6:$A$15,'Vendor Master'!$B$6:$B$15,""),"")</f>
        <v/>
      </c>
      <c r="J3472">
        <f>IF(A3472="","",TEXT(A3472,"mmm-yyyy"))</f>
        <v/>
      </c>
    </row>
    <row r="3473">
      <c r="D3473">
        <f>IFERROR(XLOOKUP(C3473,'Vendor Master'!$A$6:$A$15,'Vendor Master'!$B$6:$B$15,""),"")</f>
        <v/>
      </c>
      <c r="J3473">
        <f>IF(A3473="","",TEXT(A3473,"mmm-yyyy"))</f>
        <v/>
      </c>
    </row>
    <row r="3474">
      <c r="D3474">
        <f>IFERROR(XLOOKUP(C3474,'Vendor Master'!$A$6:$A$15,'Vendor Master'!$B$6:$B$15,""),"")</f>
        <v/>
      </c>
      <c r="J3474">
        <f>IF(A3474="","",TEXT(A3474,"mmm-yyyy"))</f>
        <v/>
      </c>
    </row>
    <row r="3475">
      <c r="D3475">
        <f>IFERROR(XLOOKUP(C3475,'Vendor Master'!$A$6:$A$15,'Vendor Master'!$B$6:$B$15,""),"")</f>
        <v/>
      </c>
      <c r="J3475">
        <f>IF(A3475="","",TEXT(A3475,"mmm-yyyy"))</f>
        <v/>
      </c>
    </row>
    <row r="3476">
      <c r="D3476">
        <f>IFERROR(XLOOKUP(C3476,'Vendor Master'!$A$6:$A$15,'Vendor Master'!$B$6:$B$15,""),"")</f>
        <v/>
      </c>
      <c r="J3476">
        <f>IF(A3476="","",TEXT(A3476,"mmm-yyyy"))</f>
        <v/>
      </c>
    </row>
    <row r="3477">
      <c r="D3477">
        <f>IFERROR(XLOOKUP(C3477,'Vendor Master'!$A$6:$A$15,'Vendor Master'!$B$6:$B$15,""),"")</f>
        <v/>
      </c>
      <c r="J3477">
        <f>IF(A3477="","",TEXT(A3477,"mmm-yyyy"))</f>
        <v/>
      </c>
    </row>
    <row r="3478">
      <c r="D3478">
        <f>IFERROR(XLOOKUP(C3478,'Vendor Master'!$A$6:$A$15,'Vendor Master'!$B$6:$B$15,""),"")</f>
        <v/>
      </c>
      <c r="J3478">
        <f>IF(A3478="","",TEXT(A3478,"mmm-yyyy"))</f>
        <v/>
      </c>
    </row>
    <row r="3479">
      <c r="D3479">
        <f>IFERROR(XLOOKUP(C3479,'Vendor Master'!$A$6:$A$15,'Vendor Master'!$B$6:$B$15,""),"")</f>
        <v/>
      </c>
      <c r="J3479">
        <f>IF(A3479="","",TEXT(A3479,"mmm-yyyy"))</f>
        <v/>
      </c>
    </row>
    <row r="3480">
      <c r="D3480">
        <f>IFERROR(XLOOKUP(C3480,'Vendor Master'!$A$6:$A$15,'Vendor Master'!$B$6:$B$15,""),"")</f>
        <v/>
      </c>
      <c r="J3480">
        <f>IF(A3480="","",TEXT(A3480,"mmm-yyyy"))</f>
        <v/>
      </c>
    </row>
    <row r="3481">
      <c r="D3481">
        <f>IFERROR(XLOOKUP(C3481,'Vendor Master'!$A$6:$A$15,'Vendor Master'!$B$6:$B$15,""),"")</f>
        <v/>
      </c>
      <c r="J3481">
        <f>IF(A3481="","",TEXT(A3481,"mmm-yyyy"))</f>
        <v/>
      </c>
    </row>
    <row r="3482">
      <c r="D3482">
        <f>IFERROR(XLOOKUP(C3482,'Vendor Master'!$A$6:$A$15,'Vendor Master'!$B$6:$B$15,""),"")</f>
        <v/>
      </c>
      <c r="J3482">
        <f>IF(A3482="","",TEXT(A3482,"mmm-yyyy"))</f>
        <v/>
      </c>
    </row>
    <row r="3483">
      <c r="D3483">
        <f>IFERROR(XLOOKUP(C3483,'Vendor Master'!$A$6:$A$15,'Vendor Master'!$B$6:$B$15,""),"")</f>
        <v/>
      </c>
      <c r="J3483">
        <f>IF(A3483="","",TEXT(A3483,"mmm-yyyy"))</f>
        <v/>
      </c>
    </row>
    <row r="3484">
      <c r="D3484">
        <f>IFERROR(XLOOKUP(C3484,'Vendor Master'!$A$6:$A$15,'Vendor Master'!$B$6:$B$15,""),"")</f>
        <v/>
      </c>
      <c r="J3484">
        <f>IF(A3484="","",TEXT(A3484,"mmm-yyyy"))</f>
        <v/>
      </c>
    </row>
    <row r="3485">
      <c r="D3485">
        <f>IFERROR(XLOOKUP(C3485,'Vendor Master'!$A$6:$A$15,'Vendor Master'!$B$6:$B$15,""),"")</f>
        <v/>
      </c>
      <c r="J3485">
        <f>IF(A3485="","",TEXT(A3485,"mmm-yyyy"))</f>
        <v/>
      </c>
    </row>
    <row r="3486">
      <c r="D3486">
        <f>IFERROR(XLOOKUP(C3486,'Vendor Master'!$A$6:$A$15,'Vendor Master'!$B$6:$B$15,""),"")</f>
        <v/>
      </c>
      <c r="J3486">
        <f>IF(A3486="","",TEXT(A3486,"mmm-yyyy"))</f>
        <v/>
      </c>
    </row>
    <row r="3487">
      <c r="D3487">
        <f>IFERROR(XLOOKUP(C3487,'Vendor Master'!$A$6:$A$15,'Vendor Master'!$B$6:$B$15,""),"")</f>
        <v/>
      </c>
      <c r="J3487">
        <f>IF(A3487="","",TEXT(A3487,"mmm-yyyy"))</f>
        <v/>
      </c>
    </row>
    <row r="3488">
      <c r="D3488">
        <f>IFERROR(XLOOKUP(C3488,'Vendor Master'!$A$6:$A$15,'Vendor Master'!$B$6:$B$15,""),"")</f>
        <v/>
      </c>
      <c r="J3488">
        <f>IF(A3488="","",TEXT(A3488,"mmm-yyyy"))</f>
        <v/>
      </c>
    </row>
    <row r="3489">
      <c r="D3489">
        <f>IFERROR(XLOOKUP(C3489,'Vendor Master'!$A$6:$A$15,'Vendor Master'!$B$6:$B$15,""),"")</f>
        <v/>
      </c>
      <c r="J3489">
        <f>IF(A3489="","",TEXT(A3489,"mmm-yyyy"))</f>
        <v/>
      </c>
    </row>
    <row r="3490">
      <c r="D3490">
        <f>IFERROR(XLOOKUP(C3490,'Vendor Master'!$A$6:$A$15,'Vendor Master'!$B$6:$B$15,""),"")</f>
        <v/>
      </c>
      <c r="J3490">
        <f>IF(A3490="","",TEXT(A3490,"mmm-yyyy"))</f>
        <v/>
      </c>
    </row>
    <row r="3491">
      <c r="D3491">
        <f>IFERROR(XLOOKUP(C3491,'Vendor Master'!$A$6:$A$15,'Vendor Master'!$B$6:$B$15,""),"")</f>
        <v/>
      </c>
      <c r="J3491">
        <f>IF(A3491="","",TEXT(A3491,"mmm-yyyy"))</f>
        <v/>
      </c>
    </row>
    <row r="3492">
      <c r="D3492">
        <f>IFERROR(XLOOKUP(C3492,'Vendor Master'!$A$6:$A$15,'Vendor Master'!$B$6:$B$15,""),"")</f>
        <v/>
      </c>
      <c r="J3492">
        <f>IF(A3492="","",TEXT(A3492,"mmm-yyyy"))</f>
        <v/>
      </c>
    </row>
    <row r="3493">
      <c r="D3493">
        <f>IFERROR(XLOOKUP(C3493,'Vendor Master'!$A$6:$A$15,'Vendor Master'!$B$6:$B$15,""),"")</f>
        <v/>
      </c>
      <c r="J3493">
        <f>IF(A3493="","",TEXT(A3493,"mmm-yyyy"))</f>
        <v/>
      </c>
    </row>
    <row r="3494">
      <c r="D3494">
        <f>IFERROR(XLOOKUP(C3494,'Vendor Master'!$A$6:$A$15,'Vendor Master'!$B$6:$B$15,""),"")</f>
        <v/>
      </c>
      <c r="J3494">
        <f>IF(A3494="","",TEXT(A3494,"mmm-yyyy"))</f>
        <v/>
      </c>
    </row>
    <row r="3495">
      <c r="D3495">
        <f>IFERROR(XLOOKUP(C3495,'Vendor Master'!$A$6:$A$15,'Vendor Master'!$B$6:$B$15,""),"")</f>
        <v/>
      </c>
      <c r="J3495">
        <f>IF(A3495="","",TEXT(A3495,"mmm-yyyy"))</f>
        <v/>
      </c>
    </row>
    <row r="3496">
      <c r="D3496">
        <f>IFERROR(XLOOKUP(C3496,'Vendor Master'!$A$6:$A$15,'Vendor Master'!$B$6:$B$15,""),"")</f>
        <v/>
      </c>
      <c r="J3496">
        <f>IF(A3496="","",TEXT(A3496,"mmm-yyyy"))</f>
        <v/>
      </c>
    </row>
    <row r="3497">
      <c r="D3497">
        <f>IFERROR(XLOOKUP(C3497,'Vendor Master'!$A$6:$A$15,'Vendor Master'!$B$6:$B$15,""),"")</f>
        <v/>
      </c>
      <c r="J3497">
        <f>IF(A3497="","",TEXT(A3497,"mmm-yyyy"))</f>
        <v/>
      </c>
    </row>
    <row r="3498">
      <c r="D3498">
        <f>IFERROR(XLOOKUP(C3498,'Vendor Master'!$A$6:$A$15,'Vendor Master'!$B$6:$B$15,""),"")</f>
        <v/>
      </c>
      <c r="J3498">
        <f>IF(A3498="","",TEXT(A3498,"mmm-yyyy"))</f>
        <v/>
      </c>
    </row>
    <row r="3499">
      <c r="D3499">
        <f>IFERROR(XLOOKUP(C3499,'Vendor Master'!$A$6:$A$15,'Vendor Master'!$B$6:$B$15,""),"")</f>
        <v/>
      </c>
      <c r="J3499">
        <f>IF(A3499="","",TEXT(A3499,"mmm-yyyy"))</f>
        <v/>
      </c>
    </row>
    <row r="3500">
      <c r="D3500">
        <f>IFERROR(XLOOKUP(C3500,'Vendor Master'!$A$6:$A$15,'Vendor Master'!$B$6:$B$15,""),"")</f>
        <v/>
      </c>
      <c r="J3500">
        <f>IF(A3500="","",TEXT(A3500,"mmm-yyyy"))</f>
        <v/>
      </c>
    </row>
    <row r="3501">
      <c r="D3501">
        <f>IFERROR(XLOOKUP(C3501,'Vendor Master'!$A$6:$A$15,'Vendor Master'!$B$6:$B$15,""),"")</f>
        <v/>
      </c>
      <c r="J3501">
        <f>IF(A3501="","",TEXT(A3501,"mmm-yyyy"))</f>
        <v/>
      </c>
    </row>
    <row r="3502">
      <c r="D3502">
        <f>IFERROR(XLOOKUP(C3502,'Vendor Master'!$A$6:$A$15,'Vendor Master'!$B$6:$B$15,""),"")</f>
        <v/>
      </c>
      <c r="J3502">
        <f>IF(A3502="","",TEXT(A3502,"mmm-yyyy"))</f>
        <v/>
      </c>
    </row>
    <row r="3503">
      <c r="D3503">
        <f>IFERROR(XLOOKUP(C3503,'Vendor Master'!$A$6:$A$15,'Vendor Master'!$B$6:$B$15,""),"")</f>
        <v/>
      </c>
      <c r="J3503">
        <f>IF(A3503="","",TEXT(A3503,"mmm-yyyy"))</f>
        <v/>
      </c>
    </row>
    <row r="3504">
      <c r="D3504">
        <f>IFERROR(XLOOKUP(C3504,'Vendor Master'!$A$6:$A$15,'Vendor Master'!$B$6:$B$15,""),"")</f>
        <v/>
      </c>
      <c r="J3504">
        <f>IF(A3504="","",TEXT(A3504,"mmm-yyyy"))</f>
        <v/>
      </c>
    </row>
    <row r="3505">
      <c r="D3505">
        <f>IFERROR(XLOOKUP(C3505,'Vendor Master'!$A$6:$A$15,'Vendor Master'!$B$6:$B$15,""),"")</f>
        <v/>
      </c>
      <c r="J3505">
        <f>IF(A3505="","",TEXT(A3505,"mmm-yyyy"))</f>
        <v/>
      </c>
    </row>
    <row r="3506">
      <c r="D3506">
        <f>IFERROR(XLOOKUP(C3506,'Vendor Master'!$A$6:$A$15,'Vendor Master'!$B$6:$B$15,""),"")</f>
        <v/>
      </c>
      <c r="J3506">
        <f>IF(A3506="","",TEXT(A3506,"mmm-yyyy"))</f>
        <v/>
      </c>
    </row>
    <row r="3507">
      <c r="D3507">
        <f>IFERROR(XLOOKUP(C3507,'Vendor Master'!$A$6:$A$15,'Vendor Master'!$B$6:$B$15,""),"")</f>
        <v/>
      </c>
      <c r="J3507">
        <f>IF(A3507="","",TEXT(A3507,"mmm-yyyy"))</f>
        <v/>
      </c>
    </row>
    <row r="3508">
      <c r="D3508">
        <f>IFERROR(XLOOKUP(C3508,'Vendor Master'!$A$6:$A$15,'Vendor Master'!$B$6:$B$15,""),"")</f>
        <v/>
      </c>
      <c r="J3508">
        <f>IF(A3508="","",TEXT(A3508,"mmm-yyyy"))</f>
        <v/>
      </c>
    </row>
    <row r="3509">
      <c r="D3509">
        <f>IFERROR(XLOOKUP(C3509,'Vendor Master'!$A$6:$A$15,'Vendor Master'!$B$6:$B$15,""),"")</f>
        <v/>
      </c>
      <c r="J3509">
        <f>IF(A3509="","",TEXT(A3509,"mmm-yyyy"))</f>
        <v/>
      </c>
    </row>
    <row r="3510">
      <c r="D3510">
        <f>IFERROR(XLOOKUP(C3510,'Vendor Master'!$A$6:$A$15,'Vendor Master'!$B$6:$B$15,""),"")</f>
        <v/>
      </c>
      <c r="J3510">
        <f>IF(A3510="","",TEXT(A3510,"mmm-yyyy"))</f>
        <v/>
      </c>
    </row>
    <row r="3511">
      <c r="D3511">
        <f>IFERROR(XLOOKUP(C3511,'Vendor Master'!$A$6:$A$15,'Vendor Master'!$B$6:$B$15,""),"")</f>
        <v/>
      </c>
      <c r="J3511">
        <f>IF(A3511="","",TEXT(A3511,"mmm-yyyy"))</f>
        <v/>
      </c>
    </row>
    <row r="3512">
      <c r="D3512">
        <f>IFERROR(XLOOKUP(C3512,'Vendor Master'!$A$6:$A$15,'Vendor Master'!$B$6:$B$15,""),"")</f>
        <v/>
      </c>
      <c r="J3512">
        <f>IF(A3512="","",TEXT(A3512,"mmm-yyyy"))</f>
        <v/>
      </c>
    </row>
    <row r="3513">
      <c r="D3513">
        <f>IFERROR(XLOOKUP(C3513,'Vendor Master'!$A$6:$A$15,'Vendor Master'!$B$6:$B$15,""),"")</f>
        <v/>
      </c>
      <c r="J3513">
        <f>IF(A3513="","",TEXT(A3513,"mmm-yyyy"))</f>
        <v/>
      </c>
    </row>
    <row r="3514">
      <c r="D3514">
        <f>IFERROR(XLOOKUP(C3514,'Vendor Master'!$A$6:$A$15,'Vendor Master'!$B$6:$B$15,""),"")</f>
        <v/>
      </c>
      <c r="J3514">
        <f>IF(A3514="","",TEXT(A3514,"mmm-yyyy"))</f>
        <v/>
      </c>
    </row>
    <row r="3515">
      <c r="D3515">
        <f>IFERROR(XLOOKUP(C3515,'Vendor Master'!$A$6:$A$15,'Vendor Master'!$B$6:$B$15,""),"")</f>
        <v/>
      </c>
      <c r="J3515">
        <f>IF(A3515="","",TEXT(A3515,"mmm-yyyy"))</f>
        <v/>
      </c>
    </row>
    <row r="3516">
      <c r="D3516">
        <f>IFERROR(XLOOKUP(C3516,'Vendor Master'!$A$6:$A$15,'Vendor Master'!$B$6:$B$15,""),"")</f>
        <v/>
      </c>
      <c r="J3516">
        <f>IF(A3516="","",TEXT(A3516,"mmm-yyyy"))</f>
        <v/>
      </c>
    </row>
    <row r="3517">
      <c r="D3517">
        <f>IFERROR(XLOOKUP(C3517,'Vendor Master'!$A$6:$A$15,'Vendor Master'!$B$6:$B$15,""),"")</f>
        <v/>
      </c>
      <c r="J3517">
        <f>IF(A3517="","",TEXT(A3517,"mmm-yyyy"))</f>
        <v/>
      </c>
    </row>
    <row r="3518">
      <c r="D3518">
        <f>IFERROR(XLOOKUP(C3518,'Vendor Master'!$A$6:$A$15,'Vendor Master'!$B$6:$B$15,""),"")</f>
        <v/>
      </c>
      <c r="J3518">
        <f>IF(A3518="","",TEXT(A3518,"mmm-yyyy"))</f>
        <v/>
      </c>
    </row>
    <row r="3519">
      <c r="D3519">
        <f>IFERROR(XLOOKUP(C3519,'Vendor Master'!$A$6:$A$15,'Vendor Master'!$B$6:$B$15,""),"")</f>
        <v/>
      </c>
      <c r="J3519">
        <f>IF(A3519="","",TEXT(A3519,"mmm-yyyy"))</f>
        <v/>
      </c>
    </row>
    <row r="3520">
      <c r="D3520">
        <f>IFERROR(XLOOKUP(C3520,'Vendor Master'!$A$6:$A$15,'Vendor Master'!$B$6:$B$15,""),"")</f>
        <v/>
      </c>
      <c r="J3520">
        <f>IF(A3520="","",TEXT(A3520,"mmm-yyyy"))</f>
        <v/>
      </c>
    </row>
    <row r="3521">
      <c r="D3521">
        <f>IFERROR(XLOOKUP(C3521,'Vendor Master'!$A$6:$A$15,'Vendor Master'!$B$6:$B$15,""),"")</f>
        <v/>
      </c>
      <c r="J3521">
        <f>IF(A3521="","",TEXT(A3521,"mmm-yyyy"))</f>
        <v/>
      </c>
    </row>
    <row r="3522">
      <c r="D3522">
        <f>IFERROR(XLOOKUP(C3522,'Vendor Master'!$A$6:$A$15,'Vendor Master'!$B$6:$B$15,""),"")</f>
        <v/>
      </c>
      <c r="J3522">
        <f>IF(A3522="","",TEXT(A3522,"mmm-yyyy"))</f>
        <v/>
      </c>
    </row>
    <row r="3523">
      <c r="D3523">
        <f>IFERROR(XLOOKUP(C3523,'Vendor Master'!$A$6:$A$15,'Vendor Master'!$B$6:$B$15,""),"")</f>
        <v/>
      </c>
      <c r="J3523">
        <f>IF(A3523="","",TEXT(A3523,"mmm-yyyy"))</f>
        <v/>
      </c>
    </row>
    <row r="3524">
      <c r="D3524">
        <f>IFERROR(XLOOKUP(C3524,'Vendor Master'!$A$6:$A$15,'Vendor Master'!$B$6:$B$15,""),"")</f>
        <v/>
      </c>
      <c r="J3524">
        <f>IF(A3524="","",TEXT(A3524,"mmm-yyyy"))</f>
        <v/>
      </c>
    </row>
    <row r="3525">
      <c r="D3525">
        <f>IFERROR(XLOOKUP(C3525,'Vendor Master'!$A$6:$A$15,'Vendor Master'!$B$6:$B$15,""),"")</f>
        <v/>
      </c>
      <c r="J3525">
        <f>IF(A3525="","",TEXT(A3525,"mmm-yyyy"))</f>
        <v/>
      </c>
    </row>
    <row r="3526">
      <c r="D3526">
        <f>IFERROR(XLOOKUP(C3526,'Vendor Master'!$A$6:$A$15,'Vendor Master'!$B$6:$B$15,""),"")</f>
        <v/>
      </c>
      <c r="J3526">
        <f>IF(A3526="","",TEXT(A3526,"mmm-yyyy"))</f>
        <v/>
      </c>
    </row>
    <row r="3527">
      <c r="D3527">
        <f>IFERROR(XLOOKUP(C3527,'Vendor Master'!$A$6:$A$15,'Vendor Master'!$B$6:$B$15,""),"")</f>
        <v/>
      </c>
      <c r="J3527">
        <f>IF(A3527="","",TEXT(A3527,"mmm-yyyy"))</f>
        <v/>
      </c>
    </row>
    <row r="3528">
      <c r="D3528">
        <f>IFERROR(XLOOKUP(C3528,'Vendor Master'!$A$6:$A$15,'Vendor Master'!$B$6:$B$15,""),"")</f>
        <v/>
      </c>
      <c r="J3528">
        <f>IF(A3528="","",TEXT(A3528,"mmm-yyyy"))</f>
        <v/>
      </c>
    </row>
    <row r="3529">
      <c r="D3529">
        <f>IFERROR(XLOOKUP(C3529,'Vendor Master'!$A$6:$A$15,'Vendor Master'!$B$6:$B$15,""),"")</f>
        <v/>
      </c>
      <c r="J3529">
        <f>IF(A3529="","",TEXT(A3529,"mmm-yyyy"))</f>
        <v/>
      </c>
    </row>
    <row r="3530">
      <c r="D3530">
        <f>IFERROR(XLOOKUP(C3530,'Vendor Master'!$A$6:$A$15,'Vendor Master'!$B$6:$B$15,""),"")</f>
        <v/>
      </c>
      <c r="J3530">
        <f>IF(A3530="","",TEXT(A3530,"mmm-yyyy"))</f>
        <v/>
      </c>
    </row>
    <row r="3531">
      <c r="D3531">
        <f>IFERROR(XLOOKUP(C3531,'Vendor Master'!$A$6:$A$15,'Vendor Master'!$B$6:$B$15,""),"")</f>
        <v/>
      </c>
      <c r="J3531">
        <f>IF(A3531="","",TEXT(A3531,"mmm-yyyy"))</f>
        <v/>
      </c>
    </row>
    <row r="3532">
      <c r="D3532">
        <f>IFERROR(XLOOKUP(C3532,'Vendor Master'!$A$6:$A$15,'Vendor Master'!$B$6:$B$15,""),"")</f>
        <v/>
      </c>
      <c r="J3532">
        <f>IF(A3532="","",TEXT(A3532,"mmm-yyyy"))</f>
        <v/>
      </c>
    </row>
    <row r="3533">
      <c r="D3533">
        <f>IFERROR(XLOOKUP(C3533,'Vendor Master'!$A$6:$A$15,'Vendor Master'!$B$6:$B$15,""),"")</f>
        <v/>
      </c>
      <c r="J3533">
        <f>IF(A3533="","",TEXT(A3533,"mmm-yyyy"))</f>
        <v/>
      </c>
    </row>
    <row r="3534">
      <c r="D3534">
        <f>IFERROR(XLOOKUP(C3534,'Vendor Master'!$A$6:$A$15,'Vendor Master'!$B$6:$B$15,""),"")</f>
        <v/>
      </c>
      <c r="J3534">
        <f>IF(A3534="","",TEXT(A3534,"mmm-yyyy"))</f>
        <v/>
      </c>
    </row>
    <row r="3535">
      <c r="D3535">
        <f>IFERROR(XLOOKUP(C3535,'Vendor Master'!$A$6:$A$15,'Vendor Master'!$B$6:$B$15,""),"")</f>
        <v/>
      </c>
      <c r="J3535">
        <f>IF(A3535="","",TEXT(A3535,"mmm-yyyy"))</f>
        <v/>
      </c>
    </row>
    <row r="3536">
      <c r="D3536">
        <f>IFERROR(XLOOKUP(C3536,'Vendor Master'!$A$6:$A$15,'Vendor Master'!$B$6:$B$15,""),"")</f>
        <v/>
      </c>
      <c r="J3536">
        <f>IF(A3536="","",TEXT(A3536,"mmm-yyyy"))</f>
        <v/>
      </c>
    </row>
    <row r="3537">
      <c r="D3537">
        <f>IFERROR(XLOOKUP(C3537,'Vendor Master'!$A$6:$A$15,'Vendor Master'!$B$6:$B$15,""),"")</f>
        <v/>
      </c>
      <c r="J3537">
        <f>IF(A3537="","",TEXT(A3537,"mmm-yyyy"))</f>
        <v/>
      </c>
    </row>
    <row r="3538">
      <c r="D3538">
        <f>IFERROR(XLOOKUP(C3538,'Vendor Master'!$A$6:$A$15,'Vendor Master'!$B$6:$B$15,""),"")</f>
        <v/>
      </c>
      <c r="J3538">
        <f>IF(A3538="","",TEXT(A3538,"mmm-yyyy"))</f>
        <v/>
      </c>
    </row>
    <row r="3539">
      <c r="D3539">
        <f>IFERROR(XLOOKUP(C3539,'Vendor Master'!$A$6:$A$15,'Vendor Master'!$B$6:$B$15,""),"")</f>
        <v/>
      </c>
      <c r="J3539">
        <f>IF(A3539="","",TEXT(A3539,"mmm-yyyy"))</f>
        <v/>
      </c>
    </row>
    <row r="3540">
      <c r="D3540">
        <f>IFERROR(XLOOKUP(C3540,'Vendor Master'!$A$6:$A$15,'Vendor Master'!$B$6:$B$15,""),"")</f>
        <v/>
      </c>
      <c r="J3540">
        <f>IF(A3540="","",TEXT(A3540,"mmm-yyyy"))</f>
        <v/>
      </c>
    </row>
    <row r="3541">
      <c r="D3541">
        <f>IFERROR(XLOOKUP(C3541,'Vendor Master'!$A$6:$A$15,'Vendor Master'!$B$6:$B$15,""),"")</f>
        <v/>
      </c>
      <c r="J3541">
        <f>IF(A3541="","",TEXT(A3541,"mmm-yyyy"))</f>
        <v/>
      </c>
    </row>
    <row r="3542">
      <c r="D3542">
        <f>IFERROR(XLOOKUP(C3542,'Vendor Master'!$A$6:$A$15,'Vendor Master'!$B$6:$B$15,""),"")</f>
        <v/>
      </c>
      <c r="J3542">
        <f>IF(A3542="","",TEXT(A3542,"mmm-yyyy"))</f>
        <v/>
      </c>
    </row>
    <row r="3543">
      <c r="D3543">
        <f>IFERROR(XLOOKUP(C3543,'Vendor Master'!$A$6:$A$15,'Vendor Master'!$B$6:$B$15,""),"")</f>
        <v/>
      </c>
      <c r="J3543">
        <f>IF(A3543="","",TEXT(A3543,"mmm-yyyy"))</f>
        <v/>
      </c>
    </row>
    <row r="3544">
      <c r="D3544">
        <f>IFERROR(XLOOKUP(C3544,'Vendor Master'!$A$6:$A$15,'Vendor Master'!$B$6:$B$15,""),"")</f>
        <v/>
      </c>
      <c r="J3544">
        <f>IF(A3544="","",TEXT(A3544,"mmm-yyyy"))</f>
        <v/>
      </c>
    </row>
    <row r="3545">
      <c r="D3545">
        <f>IFERROR(XLOOKUP(C3545,'Vendor Master'!$A$6:$A$15,'Vendor Master'!$B$6:$B$15,""),"")</f>
        <v/>
      </c>
      <c r="J3545">
        <f>IF(A3545="","",TEXT(A3545,"mmm-yyyy"))</f>
        <v/>
      </c>
    </row>
    <row r="3546">
      <c r="D3546">
        <f>IFERROR(XLOOKUP(C3546,'Vendor Master'!$A$6:$A$15,'Vendor Master'!$B$6:$B$15,""),"")</f>
        <v/>
      </c>
      <c r="J3546">
        <f>IF(A3546="","",TEXT(A3546,"mmm-yyyy"))</f>
        <v/>
      </c>
    </row>
    <row r="3547">
      <c r="D3547">
        <f>IFERROR(XLOOKUP(C3547,'Vendor Master'!$A$6:$A$15,'Vendor Master'!$B$6:$B$15,""),"")</f>
        <v/>
      </c>
      <c r="J3547">
        <f>IF(A3547="","",TEXT(A3547,"mmm-yyyy"))</f>
        <v/>
      </c>
    </row>
    <row r="3548">
      <c r="D3548">
        <f>IFERROR(XLOOKUP(C3548,'Vendor Master'!$A$6:$A$15,'Vendor Master'!$B$6:$B$15,""),"")</f>
        <v/>
      </c>
      <c r="J3548">
        <f>IF(A3548="","",TEXT(A3548,"mmm-yyyy"))</f>
        <v/>
      </c>
    </row>
    <row r="3549">
      <c r="D3549">
        <f>IFERROR(XLOOKUP(C3549,'Vendor Master'!$A$6:$A$15,'Vendor Master'!$B$6:$B$15,""),"")</f>
        <v/>
      </c>
      <c r="J3549">
        <f>IF(A3549="","",TEXT(A3549,"mmm-yyyy"))</f>
        <v/>
      </c>
    </row>
    <row r="3550">
      <c r="D3550">
        <f>IFERROR(XLOOKUP(C3550,'Vendor Master'!$A$6:$A$15,'Vendor Master'!$B$6:$B$15,""),"")</f>
        <v/>
      </c>
      <c r="J3550">
        <f>IF(A3550="","",TEXT(A3550,"mmm-yyyy"))</f>
        <v/>
      </c>
    </row>
    <row r="3551">
      <c r="D3551">
        <f>IFERROR(XLOOKUP(C3551,'Vendor Master'!$A$6:$A$15,'Vendor Master'!$B$6:$B$15,""),"")</f>
        <v/>
      </c>
      <c r="J3551">
        <f>IF(A3551="","",TEXT(A3551,"mmm-yyyy"))</f>
        <v/>
      </c>
    </row>
    <row r="3552">
      <c r="D3552">
        <f>IFERROR(XLOOKUP(C3552,'Vendor Master'!$A$6:$A$15,'Vendor Master'!$B$6:$B$15,""),"")</f>
        <v/>
      </c>
      <c r="J3552">
        <f>IF(A3552="","",TEXT(A3552,"mmm-yyyy"))</f>
        <v/>
      </c>
    </row>
    <row r="3553">
      <c r="D3553">
        <f>IFERROR(XLOOKUP(C3553,'Vendor Master'!$A$6:$A$15,'Vendor Master'!$B$6:$B$15,""),"")</f>
        <v/>
      </c>
      <c r="J3553">
        <f>IF(A3553="","",TEXT(A3553,"mmm-yyyy"))</f>
        <v/>
      </c>
    </row>
    <row r="3554">
      <c r="D3554">
        <f>IFERROR(XLOOKUP(C3554,'Vendor Master'!$A$6:$A$15,'Vendor Master'!$B$6:$B$15,""),"")</f>
        <v/>
      </c>
      <c r="J3554">
        <f>IF(A3554="","",TEXT(A3554,"mmm-yyyy"))</f>
        <v/>
      </c>
    </row>
    <row r="3555">
      <c r="D3555">
        <f>IFERROR(XLOOKUP(C3555,'Vendor Master'!$A$6:$A$15,'Vendor Master'!$B$6:$B$15,""),"")</f>
        <v/>
      </c>
      <c r="J3555">
        <f>IF(A3555="","",TEXT(A3555,"mmm-yyyy"))</f>
        <v/>
      </c>
    </row>
    <row r="3556">
      <c r="D3556">
        <f>IFERROR(XLOOKUP(C3556,'Vendor Master'!$A$6:$A$15,'Vendor Master'!$B$6:$B$15,""),"")</f>
        <v/>
      </c>
      <c r="J3556">
        <f>IF(A3556="","",TEXT(A3556,"mmm-yyyy"))</f>
        <v/>
      </c>
    </row>
    <row r="3557">
      <c r="D3557">
        <f>IFERROR(XLOOKUP(C3557,'Vendor Master'!$A$6:$A$15,'Vendor Master'!$B$6:$B$15,""),"")</f>
        <v/>
      </c>
      <c r="J3557">
        <f>IF(A3557="","",TEXT(A3557,"mmm-yyyy"))</f>
        <v/>
      </c>
    </row>
    <row r="3558">
      <c r="D3558">
        <f>IFERROR(XLOOKUP(C3558,'Vendor Master'!$A$6:$A$15,'Vendor Master'!$B$6:$B$15,""),"")</f>
        <v/>
      </c>
      <c r="J3558">
        <f>IF(A3558="","",TEXT(A3558,"mmm-yyyy"))</f>
        <v/>
      </c>
    </row>
    <row r="3559">
      <c r="D3559">
        <f>IFERROR(XLOOKUP(C3559,'Vendor Master'!$A$6:$A$15,'Vendor Master'!$B$6:$B$15,""),"")</f>
        <v/>
      </c>
      <c r="J3559">
        <f>IF(A3559="","",TEXT(A3559,"mmm-yyyy"))</f>
        <v/>
      </c>
    </row>
    <row r="3560">
      <c r="D3560">
        <f>IFERROR(XLOOKUP(C3560,'Vendor Master'!$A$6:$A$15,'Vendor Master'!$B$6:$B$15,""),"")</f>
        <v/>
      </c>
      <c r="J3560">
        <f>IF(A3560="","",TEXT(A3560,"mmm-yyyy"))</f>
        <v/>
      </c>
    </row>
    <row r="3561">
      <c r="D3561">
        <f>IFERROR(XLOOKUP(C3561,'Vendor Master'!$A$6:$A$15,'Vendor Master'!$B$6:$B$15,""),"")</f>
        <v/>
      </c>
      <c r="J3561">
        <f>IF(A3561="","",TEXT(A3561,"mmm-yyyy"))</f>
        <v/>
      </c>
    </row>
    <row r="3562">
      <c r="D3562">
        <f>IFERROR(XLOOKUP(C3562,'Vendor Master'!$A$6:$A$15,'Vendor Master'!$B$6:$B$15,""),"")</f>
        <v/>
      </c>
      <c r="J3562">
        <f>IF(A3562="","",TEXT(A3562,"mmm-yyyy"))</f>
        <v/>
      </c>
    </row>
    <row r="3563">
      <c r="D3563">
        <f>IFERROR(XLOOKUP(C3563,'Vendor Master'!$A$6:$A$15,'Vendor Master'!$B$6:$B$15,""),"")</f>
        <v/>
      </c>
      <c r="J3563">
        <f>IF(A3563="","",TEXT(A3563,"mmm-yyyy"))</f>
        <v/>
      </c>
    </row>
    <row r="3564">
      <c r="D3564">
        <f>IFERROR(XLOOKUP(C3564,'Vendor Master'!$A$6:$A$15,'Vendor Master'!$B$6:$B$15,""),"")</f>
        <v/>
      </c>
      <c r="J3564">
        <f>IF(A3564="","",TEXT(A3564,"mmm-yyyy"))</f>
        <v/>
      </c>
    </row>
    <row r="3565">
      <c r="D3565">
        <f>IFERROR(XLOOKUP(C3565,'Vendor Master'!$A$6:$A$15,'Vendor Master'!$B$6:$B$15,""),"")</f>
        <v/>
      </c>
      <c r="J3565">
        <f>IF(A3565="","",TEXT(A3565,"mmm-yyyy"))</f>
        <v/>
      </c>
    </row>
    <row r="3566">
      <c r="D3566">
        <f>IFERROR(XLOOKUP(C3566,'Vendor Master'!$A$6:$A$15,'Vendor Master'!$B$6:$B$15,""),"")</f>
        <v/>
      </c>
      <c r="J3566">
        <f>IF(A3566="","",TEXT(A3566,"mmm-yyyy"))</f>
        <v/>
      </c>
    </row>
    <row r="3567">
      <c r="D3567">
        <f>IFERROR(XLOOKUP(C3567,'Vendor Master'!$A$6:$A$15,'Vendor Master'!$B$6:$B$15,""),"")</f>
        <v/>
      </c>
      <c r="J3567">
        <f>IF(A3567="","",TEXT(A3567,"mmm-yyyy"))</f>
        <v/>
      </c>
    </row>
    <row r="3568">
      <c r="D3568">
        <f>IFERROR(XLOOKUP(C3568,'Vendor Master'!$A$6:$A$15,'Vendor Master'!$B$6:$B$15,""),"")</f>
        <v/>
      </c>
      <c r="J3568">
        <f>IF(A3568="","",TEXT(A3568,"mmm-yyyy"))</f>
        <v/>
      </c>
    </row>
    <row r="3569">
      <c r="D3569">
        <f>IFERROR(XLOOKUP(C3569,'Vendor Master'!$A$6:$A$15,'Vendor Master'!$B$6:$B$15,""),"")</f>
        <v/>
      </c>
      <c r="J3569">
        <f>IF(A3569="","",TEXT(A3569,"mmm-yyyy"))</f>
        <v/>
      </c>
    </row>
    <row r="3570">
      <c r="D3570">
        <f>IFERROR(XLOOKUP(C3570,'Vendor Master'!$A$6:$A$15,'Vendor Master'!$B$6:$B$15,""),"")</f>
        <v/>
      </c>
      <c r="J3570">
        <f>IF(A3570="","",TEXT(A3570,"mmm-yyyy"))</f>
        <v/>
      </c>
    </row>
    <row r="3571">
      <c r="D3571">
        <f>IFERROR(XLOOKUP(C3571,'Vendor Master'!$A$6:$A$15,'Vendor Master'!$B$6:$B$15,""),"")</f>
        <v/>
      </c>
      <c r="J3571">
        <f>IF(A3571="","",TEXT(A3571,"mmm-yyyy"))</f>
        <v/>
      </c>
    </row>
    <row r="3572">
      <c r="D3572">
        <f>IFERROR(XLOOKUP(C3572,'Vendor Master'!$A$6:$A$15,'Vendor Master'!$B$6:$B$15,""),"")</f>
        <v/>
      </c>
      <c r="J3572">
        <f>IF(A3572="","",TEXT(A3572,"mmm-yyyy"))</f>
        <v/>
      </c>
    </row>
    <row r="3573">
      <c r="D3573">
        <f>IFERROR(XLOOKUP(C3573,'Vendor Master'!$A$6:$A$15,'Vendor Master'!$B$6:$B$15,""),"")</f>
        <v/>
      </c>
      <c r="J3573">
        <f>IF(A3573="","",TEXT(A3573,"mmm-yyyy"))</f>
        <v/>
      </c>
    </row>
    <row r="3574">
      <c r="D3574">
        <f>IFERROR(XLOOKUP(C3574,'Vendor Master'!$A$6:$A$15,'Vendor Master'!$B$6:$B$15,""),"")</f>
        <v/>
      </c>
      <c r="J3574">
        <f>IF(A3574="","",TEXT(A3574,"mmm-yyyy"))</f>
        <v/>
      </c>
    </row>
    <row r="3575">
      <c r="D3575">
        <f>IFERROR(XLOOKUP(C3575,'Vendor Master'!$A$6:$A$15,'Vendor Master'!$B$6:$B$15,""),"")</f>
        <v/>
      </c>
      <c r="J3575">
        <f>IF(A3575="","",TEXT(A3575,"mmm-yyyy"))</f>
        <v/>
      </c>
    </row>
    <row r="3576">
      <c r="D3576">
        <f>IFERROR(XLOOKUP(C3576,'Vendor Master'!$A$6:$A$15,'Vendor Master'!$B$6:$B$15,""),"")</f>
        <v/>
      </c>
      <c r="J3576">
        <f>IF(A3576="","",TEXT(A3576,"mmm-yyyy"))</f>
        <v/>
      </c>
    </row>
    <row r="3577">
      <c r="D3577">
        <f>IFERROR(XLOOKUP(C3577,'Vendor Master'!$A$6:$A$15,'Vendor Master'!$B$6:$B$15,""),"")</f>
        <v/>
      </c>
      <c r="J3577">
        <f>IF(A3577="","",TEXT(A3577,"mmm-yyyy"))</f>
        <v/>
      </c>
    </row>
    <row r="3578">
      <c r="D3578">
        <f>IFERROR(XLOOKUP(C3578,'Vendor Master'!$A$6:$A$15,'Vendor Master'!$B$6:$B$15,""),"")</f>
        <v/>
      </c>
      <c r="J3578">
        <f>IF(A3578="","",TEXT(A3578,"mmm-yyyy"))</f>
        <v/>
      </c>
    </row>
    <row r="3579">
      <c r="D3579">
        <f>IFERROR(XLOOKUP(C3579,'Vendor Master'!$A$6:$A$15,'Vendor Master'!$B$6:$B$15,""),"")</f>
        <v/>
      </c>
      <c r="J3579">
        <f>IF(A3579="","",TEXT(A3579,"mmm-yyyy"))</f>
        <v/>
      </c>
    </row>
    <row r="3580">
      <c r="D3580">
        <f>IFERROR(XLOOKUP(C3580,'Vendor Master'!$A$6:$A$15,'Vendor Master'!$B$6:$B$15,""),"")</f>
        <v/>
      </c>
      <c r="J3580">
        <f>IF(A3580="","",TEXT(A3580,"mmm-yyyy"))</f>
        <v/>
      </c>
    </row>
    <row r="3581">
      <c r="D3581">
        <f>IFERROR(XLOOKUP(C3581,'Vendor Master'!$A$6:$A$15,'Vendor Master'!$B$6:$B$15,""),"")</f>
        <v/>
      </c>
      <c r="J3581">
        <f>IF(A3581="","",TEXT(A3581,"mmm-yyyy"))</f>
        <v/>
      </c>
    </row>
    <row r="3582">
      <c r="D3582">
        <f>IFERROR(XLOOKUP(C3582,'Vendor Master'!$A$6:$A$15,'Vendor Master'!$B$6:$B$15,""),"")</f>
        <v/>
      </c>
      <c r="J3582">
        <f>IF(A3582="","",TEXT(A3582,"mmm-yyyy"))</f>
        <v/>
      </c>
    </row>
    <row r="3583">
      <c r="D3583">
        <f>IFERROR(XLOOKUP(C3583,'Vendor Master'!$A$6:$A$15,'Vendor Master'!$B$6:$B$15,""),"")</f>
        <v/>
      </c>
      <c r="J3583">
        <f>IF(A3583="","",TEXT(A3583,"mmm-yyyy"))</f>
        <v/>
      </c>
    </row>
    <row r="3584">
      <c r="D3584">
        <f>IFERROR(XLOOKUP(C3584,'Vendor Master'!$A$6:$A$15,'Vendor Master'!$B$6:$B$15,""),"")</f>
        <v/>
      </c>
      <c r="J3584">
        <f>IF(A3584="","",TEXT(A3584,"mmm-yyyy"))</f>
        <v/>
      </c>
    </row>
    <row r="3585">
      <c r="D3585">
        <f>IFERROR(XLOOKUP(C3585,'Vendor Master'!$A$6:$A$15,'Vendor Master'!$B$6:$B$15,""),"")</f>
        <v/>
      </c>
      <c r="J3585">
        <f>IF(A3585="","",TEXT(A3585,"mmm-yyyy"))</f>
        <v/>
      </c>
    </row>
    <row r="3586">
      <c r="D3586">
        <f>IFERROR(XLOOKUP(C3586,'Vendor Master'!$A$6:$A$15,'Vendor Master'!$B$6:$B$15,""),"")</f>
        <v/>
      </c>
      <c r="J3586">
        <f>IF(A3586="","",TEXT(A3586,"mmm-yyyy"))</f>
        <v/>
      </c>
    </row>
    <row r="3587">
      <c r="D3587">
        <f>IFERROR(XLOOKUP(C3587,'Vendor Master'!$A$6:$A$15,'Vendor Master'!$B$6:$B$15,""),"")</f>
        <v/>
      </c>
      <c r="J3587">
        <f>IF(A3587="","",TEXT(A3587,"mmm-yyyy"))</f>
        <v/>
      </c>
    </row>
    <row r="3588">
      <c r="D3588">
        <f>IFERROR(XLOOKUP(C3588,'Vendor Master'!$A$6:$A$15,'Vendor Master'!$B$6:$B$15,""),"")</f>
        <v/>
      </c>
      <c r="J3588">
        <f>IF(A3588="","",TEXT(A3588,"mmm-yyyy"))</f>
        <v/>
      </c>
    </row>
    <row r="3589">
      <c r="D3589">
        <f>IFERROR(XLOOKUP(C3589,'Vendor Master'!$A$6:$A$15,'Vendor Master'!$B$6:$B$15,""),"")</f>
        <v/>
      </c>
      <c r="J3589">
        <f>IF(A3589="","",TEXT(A3589,"mmm-yyyy"))</f>
        <v/>
      </c>
    </row>
    <row r="3590">
      <c r="D3590">
        <f>IFERROR(XLOOKUP(C3590,'Vendor Master'!$A$6:$A$15,'Vendor Master'!$B$6:$B$15,""),"")</f>
        <v/>
      </c>
      <c r="J3590">
        <f>IF(A3590="","",TEXT(A3590,"mmm-yyyy"))</f>
        <v/>
      </c>
    </row>
    <row r="3591">
      <c r="D3591">
        <f>IFERROR(XLOOKUP(C3591,'Vendor Master'!$A$6:$A$15,'Vendor Master'!$B$6:$B$15,""),"")</f>
        <v/>
      </c>
      <c r="J3591">
        <f>IF(A3591="","",TEXT(A3591,"mmm-yyyy"))</f>
        <v/>
      </c>
    </row>
    <row r="3592">
      <c r="D3592">
        <f>IFERROR(XLOOKUP(C3592,'Vendor Master'!$A$6:$A$15,'Vendor Master'!$B$6:$B$15,""),"")</f>
        <v/>
      </c>
      <c r="J3592">
        <f>IF(A3592="","",TEXT(A3592,"mmm-yyyy"))</f>
        <v/>
      </c>
    </row>
    <row r="3593">
      <c r="D3593">
        <f>IFERROR(XLOOKUP(C3593,'Vendor Master'!$A$6:$A$15,'Vendor Master'!$B$6:$B$15,""),"")</f>
        <v/>
      </c>
      <c r="J3593">
        <f>IF(A3593="","",TEXT(A3593,"mmm-yyyy"))</f>
        <v/>
      </c>
    </row>
    <row r="3594">
      <c r="D3594">
        <f>IFERROR(XLOOKUP(C3594,'Vendor Master'!$A$6:$A$15,'Vendor Master'!$B$6:$B$15,""),"")</f>
        <v/>
      </c>
      <c r="J3594">
        <f>IF(A3594="","",TEXT(A3594,"mmm-yyyy"))</f>
        <v/>
      </c>
    </row>
    <row r="3595">
      <c r="D3595">
        <f>IFERROR(XLOOKUP(C3595,'Vendor Master'!$A$6:$A$15,'Vendor Master'!$B$6:$B$15,""),"")</f>
        <v/>
      </c>
      <c r="J3595">
        <f>IF(A3595="","",TEXT(A3595,"mmm-yyyy"))</f>
        <v/>
      </c>
    </row>
    <row r="3596">
      <c r="D3596">
        <f>IFERROR(XLOOKUP(C3596,'Vendor Master'!$A$6:$A$15,'Vendor Master'!$B$6:$B$15,""),"")</f>
        <v/>
      </c>
      <c r="J3596">
        <f>IF(A3596="","",TEXT(A3596,"mmm-yyyy"))</f>
        <v/>
      </c>
    </row>
    <row r="3597">
      <c r="D3597">
        <f>IFERROR(XLOOKUP(C3597,'Vendor Master'!$A$6:$A$15,'Vendor Master'!$B$6:$B$15,""),"")</f>
        <v/>
      </c>
      <c r="J3597">
        <f>IF(A3597="","",TEXT(A3597,"mmm-yyyy"))</f>
        <v/>
      </c>
    </row>
    <row r="3598">
      <c r="D3598">
        <f>IFERROR(XLOOKUP(C3598,'Vendor Master'!$A$6:$A$15,'Vendor Master'!$B$6:$B$15,""),"")</f>
        <v/>
      </c>
      <c r="J3598">
        <f>IF(A3598="","",TEXT(A3598,"mmm-yyyy"))</f>
        <v/>
      </c>
    </row>
    <row r="3599">
      <c r="D3599">
        <f>IFERROR(XLOOKUP(C3599,'Vendor Master'!$A$6:$A$15,'Vendor Master'!$B$6:$B$15,""),"")</f>
        <v/>
      </c>
      <c r="J3599">
        <f>IF(A3599="","",TEXT(A3599,"mmm-yyyy"))</f>
        <v/>
      </c>
    </row>
    <row r="3600">
      <c r="D3600">
        <f>IFERROR(XLOOKUP(C3600,'Vendor Master'!$A$6:$A$15,'Vendor Master'!$B$6:$B$15,""),"")</f>
        <v/>
      </c>
      <c r="J3600">
        <f>IF(A3600="","",TEXT(A3600,"mmm-yyyy"))</f>
        <v/>
      </c>
    </row>
    <row r="3601">
      <c r="D3601">
        <f>IFERROR(XLOOKUP(C3601,'Vendor Master'!$A$6:$A$15,'Vendor Master'!$B$6:$B$15,""),"")</f>
        <v/>
      </c>
      <c r="J3601">
        <f>IF(A3601="","",TEXT(A3601,"mmm-yyyy"))</f>
        <v/>
      </c>
    </row>
    <row r="3602">
      <c r="D3602">
        <f>IFERROR(XLOOKUP(C3602,'Vendor Master'!$A$6:$A$15,'Vendor Master'!$B$6:$B$15,""),"")</f>
        <v/>
      </c>
      <c r="J3602">
        <f>IF(A3602="","",TEXT(A3602,"mmm-yyyy"))</f>
        <v/>
      </c>
    </row>
    <row r="3603">
      <c r="D3603">
        <f>IFERROR(XLOOKUP(C3603,'Vendor Master'!$A$6:$A$15,'Vendor Master'!$B$6:$B$15,""),"")</f>
        <v/>
      </c>
      <c r="J3603">
        <f>IF(A3603="","",TEXT(A3603,"mmm-yyyy"))</f>
        <v/>
      </c>
    </row>
    <row r="3604">
      <c r="D3604">
        <f>IFERROR(XLOOKUP(C3604,'Vendor Master'!$A$6:$A$15,'Vendor Master'!$B$6:$B$15,""),"")</f>
        <v/>
      </c>
      <c r="J3604">
        <f>IF(A3604="","",TEXT(A3604,"mmm-yyyy"))</f>
        <v/>
      </c>
    </row>
    <row r="3605">
      <c r="D3605">
        <f>IFERROR(XLOOKUP(C3605,'Vendor Master'!$A$6:$A$15,'Vendor Master'!$B$6:$B$15,""),"")</f>
        <v/>
      </c>
      <c r="J3605">
        <f>IF(A3605="","",TEXT(A3605,"mmm-yyyy"))</f>
        <v/>
      </c>
    </row>
    <row r="3606">
      <c r="D3606">
        <f>IFERROR(XLOOKUP(C3606,'Vendor Master'!$A$6:$A$15,'Vendor Master'!$B$6:$B$15,""),"")</f>
        <v/>
      </c>
      <c r="J3606">
        <f>IF(A3606="","",TEXT(A3606,"mmm-yyyy"))</f>
        <v/>
      </c>
    </row>
    <row r="3607">
      <c r="D3607">
        <f>IFERROR(XLOOKUP(C3607,'Vendor Master'!$A$6:$A$15,'Vendor Master'!$B$6:$B$15,""),"")</f>
        <v/>
      </c>
      <c r="J3607">
        <f>IF(A3607="","",TEXT(A3607,"mmm-yyyy"))</f>
        <v/>
      </c>
    </row>
    <row r="3608">
      <c r="D3608">
        <f>IFERROR(XLOOKUP(C3608,'Vendor Master'!$A$6:$A$15,'Vendor Master'!$B$6:$B$15,""),"")</f>
        <v/>
      </c>
      <c r="J3608">
        <f>IF(A3608="","",TEXT(A3608,"mmm-yyyy"))</f>
        <v/>
      </c>
    </row>
    <row r="3609">
      <c r="D3609">
        <f>IFERROR(XLOOKUP(C3609,'Vendor Master'!$A$6:$A$15,'Vendor Master'!$B$6:$B$15,""),"")</f>
        <v/>
      </c>
      <c r="J3609">
        <f>IF(A3609="","",TEXT(A3609,"mmm-yyyy"))</f>
        <v/>
      </c>
    </row>
    <row r="3610">
      <c r="D3610">
        <f>IFERROR(XLOOKUP(C3610,'Vendor Master'!$A$6:$A$15,'Vendor Master'!$B$6:$B$15,""),"")</f>
        <v/>
      </c>
      <c r="J3610">
        <f>IF(A3610="","",TEXT(A3610,"mmm-yyyy"))</f>
        <v/>
      </c>
    </row>
    <row r="3611">
      <c r="D3611">
        <f>IFERROR(XLOOKUP(C3611,'Vendor Master'!$A$6:$A$15,'Vendor Master'!$B$6:$B$15,""),"")</f>
        <v/>
      </c>
      <c r="J3611">
        <f>IF(A3611="","",TEXT(A3611,"mmm-yyyy"))</f>
        <v/>
      </c>
    </row>
    <row r="3612">
      <c r="D3612">
        <f>IFERROR(XLOOKUP(C3612,'Vendor Master'!$A$6:$A$15,'Vendor Master'!$B$6:$B$15,""),"")</f>
        <v/>
      </c>
      <c r="J3612">
        <f>IF(A3612="","",TEXT(A3612,"mmm-yyyy"))</f>
        <v/>
      </c>
    </row>
    <row r="3613">
      <c r="D3613">
        <f>IFERROR(XLOOKUP(C3613,'Vendor Master'!$A$6:$A$15,'Vendor Master'!$B$6:$B$15,""),"")</f>
        <v/>
      </c>
      <c r="J3613">
        <f>IF(A3613="","",TEXT(A3613,"mmm-yyyy"))</f>
        <v/>
      </c>
    </row>
    <row r="3614">
      <c r="D3614">
        <f>IFERROR(XLOOKUP(C3614,'Vendor Master'!$A$6:$A$15,'Vendor Master'!$B$6:$B$15,""),"")</f>
        <v/>
      </c>
      <c r="J3614">
        <f>IF(A3614="","",TEXT(A3614,"mmm-yyyy"))</f>
        <v/>
      </c>
    </row>
    <row r="3615">
      <c r="D3615">
        <f>IFERROR(XLOOKUP(C3615,'Vendor Master'!$A$6:$A$15,'Vendor Master'!$B$6:$B$15,""),"")</f>
        <v/>
      </c>
      <c r="J3615">
        <f>IF(A3615="","",TEXT(A3615,"mmm-yyyy"))</f>
        <v/>
      </c>
    </row>
    <row r="3616">
      <c r="D3616">
        <f>IFERROR(XLOOKUP(C3616,'Vendor Master'!$A$6:$A$15,'Vendor Master'!$B$6:$B$15,""),"")</f>
        <v/>
      </c>
      <c r="J3616">
        <f>IF(A3616="","",TEXT(A3616,"mmm-yyyy"))</f>
        <v/>
      </c>
    </row>
    <row r="3617">
      <c r="D3617">
        <f>IFERROR(XLOOKUP(C3617,'Vendor Master'!$A$6:$A$15,'Vendor Master'!$B$6:$B$15,""),"")</f>
        <v/>
      </c>
      <c r="J3617">
        <f>IF(A3617="","",TEXT(A3617,"mmm-yyyy"))</f>
        <v/>
      </c>
    </row>
    <row r="3618">
      <c r="D3618">
        <f>IFERROR(XLOOKUP(C3618,'Vendor Master'!$A$6:$A$15,'Vendor Master'!$B$6:$B$15,""),"")</f>
        <v/>
      </c>
      <c r="J3618">
        <f>IF(A3618="","",TEXT(A3618,"mmm-yyyy"))</f>
        <v/>
      </c>
    </row>
    <row r="3619">
      <c r="D3619">
        <f>IFERROR(XLOOKUP(C3619,'Vendor Master'!$A$6:$A$15,'Vendor Master'!$B$6:$B$15,""),"")</f>
        <v/>
      </c>
      <c r="J3619">
        <f>IF(A3619="","",TEXT(A3619,"mmm-yyyy"))</f>
        <v/>
      </c>
    </row>
    <row r="3620">
      <c r="D3620">
        <f>IFERROR(XLOOKUP(C3620,'Vendor Master'!$A$6:$A$15,'Vendor Master'!$B$6:$B$15,""),"")</f>
        <v/>
      </c>
      <c r="J3620">
        <f>IF(A3620="","",TEXT(A3620,"mmm-yyyy"))</f>
        <v/>
      </c>
    </row>
    <row r="3621">
      <c r="D3621">
        <f>IFERROR(XLOOKUP(C3621,'Vendor Master'!$A$6:$A$15,'Vendor Master'!$B$6:$B$15,""),"")</f>
        <v/>
      </c>
      <c r="J3621">
        <f>IF(A3621="","",TEXT(A3621,"mmm-yyyy"))</f>
        <v/>
      </c>
    </row>
    <row r="3622">
      <c r="D3622">
        <f>IFERROR(XLOOKUP(C3622,'Vendor Master'!$A$6:$A$15,'Vendor Master'!$B$6:$B$15,""),"")</f>
        <v/>
      </c>
      <c r="J3622">
        <f>IF(A3622="","",TEXT(A3622,"mmm-yyyy"))</f>
        <v/>
      </c>
    </row>
    <row r="3623">
      <c r="D3623">
        <f>IFERROR(XLOOKUP(C3623,'Vendor Master'!$A$6:$A$15,'Vendor Master'!$B$6:$B$15,""),"")</f>
        <v/>
      </c>
      <c r="J3623">
        <f>IF(A3623="","",TEXT(A3623,"mmm-yyyy"))</f>
        <v/>
      </c>
    </row>
    <row r="3624">
      <c r="D3624">
        <f>IFERROR(XLOOKUP(C3624,'Vendor Master'!$A$6:$A$15,'Vendor Master'!$B$6:$B$15,""),"")</f>
        <v/>
      </c>
      <c r="J3624">
        <f>IF(A3624="","",TEXT(A3624,"mmm-yyyy"))</f>
        <v/>
      </c>
    </row>
    <row r="3625">
      <c r="D3625">
        <f>IFERROR(XLOOKUP(C3625,'Vendor Master'!$A$6:$A$15,'Vendor Master'!$B$6:$B$15,""),"")</f>
        <v/>
      </c>
      <c r="J3625">
        <f>IF(A3625="","",TEXT(A3625,"mmm-yyyy"))</f>
        <v/>
      </c>
    </row>
    <row r="3626">
      <c r="D3626">
        <f>IFERROR(XLOOKUP(C3626,'Vendor Master'!$A$6:$A$15,'Vendor Master'!$B$6:$B$15,""),"")</f>
        <v/>
      </c>
      <c r="J3626">
        <f>IF(A3626="","",TEXT(A3626,"mmm-yyyy"))</f>
        <v/>
      </c>
    </row>
    <row r="3627">
      <c r="D3627">
        <f>IFERROR(XLOOKUP(C3627,'Vendor Master'!$A$6:$A$15,'Vendor Master'!$B$6:$B$15,""),"")</f>
        <v/>
      </c>
      <c r="J3627">
        <f>IF(A3627="","",TEXT(A3627,"mmm-yyyy"))</f>
        <v/>
      </c>
    </row>
    <row r="3628">
      <c r="D3628">
        <f>IFERROR(XLOOKUP(C3628,'Vendor Master'!$A$6:$A$15,'Vendor Master'!$B$6:$B$15,""),"")</f>
        <v/>
      </c>
      <c r="J3628">
        <f>IF(A3628="","",TEXT(A3628,"mmm-yyyy"))</f>
        <v/>
      </c>
    </row>
    <row r="3629">
      <c r="D3629">
        <f>IFERROR(XLOOKUP(C3629,'Vendor Master'!$A$6:$A$15,'Vendor Master'!$B$6:$B$15,""),"")</f>
        <v/>
      </c>
      <c r="J3629">
        <f>IF(A3629="","",TEXT(A3629,"mmm-yyyy"))</f>
        <v/>
      </c>
    </row>
    <row r="3630">
      <c r="D3630">
        <f>IFERROR(XLOOKUP(C3630,'Vendor Master'!$A$6:$A$15,'Vendor Master'!$B$6:$B$15,""),"")</f>
        <v/>
      </c>
      <c r="J3630">
        <f>IF(A3630="","",TEXT(A3630,"mmm-yyyy"))</f>
        <v/>
      </c>
    </row>
    <row r="3631">
      <c r="D3631">
        <f>IFERROR(XLOOKUP(C3631,'Vendor Master'!$A$6:$A$15,'Vendor Master'!$B$6:$B$15,""),"")</f>
        <v/>
      </c>
      <c r="J3631">
        <f>IF(A3631="","",TEXT(A3631,"mmm-yyyy"))</f>
        <v/>
      </c>
    </row>
    <row r="3632">
      <c r="D3632">
        <f>IFERROR(XLOOKUP(C3632,'Vendor Master'!$A$6:$A$15,'Vendor Master'!$B$6:$B$15,""),"")</f>
        <v/>
      </c>
      <c r="J3632">
        <f>IF(A3632="","",TEXT(A3632,"mmm-yyyy"))</f>
        <v/>
      </c>
    </row>
    <row r="3633">
      <c r="D3633">
        <f>IFERROR(XLOOKUP(C3633,'Vendor Master'!$A$6:$A$15,'Vendor Master'!$B$6:$B$15,""),"")</f>
        <v/>
      </c>
      <c r="J3633">
        <f>IF(A3633="","",TEXT(A3633,"mmm-yyyy"))</f>
        <v/>
      </c>
    </row>
    <row r="3634">
      <c r="D3634">
        <f>IFERROR(XLOOKUP(C3634,'Vendor Master'!$A$6:$A$15,'Vendor Master'!$B$6:$B$15,""),"")</f>
        <v/>
      </c>
      <c r="J3634">
        <f>IF(A3634="","",TEXT(A3634,"mmm-yyyy"))</f>
        <v/>
      </c>
    </row>
    <row r="3635">
      <c r="D3635">
        <f>IFERROR(XLOOKUP(C3635,'Vendor Master'!$A$6:$A$15,'Vendor Master'!$B$6:$B$15,""),"")</f>
        <v/>
      </c>
      <c r="J3635">
        <f>IF(A3635="","",TEXT(A3635,"mmm-yyyy"))</f>
        <v/>
      </c>
    </row>
    <row r="3636">
      <c r="D3636">
        <f>IFERROR(XLOOKUP(C3636,'Vendor Master'!$A$6:$A$15,'Vendor Master'!$B$6:$B$15,""),"")</f>
        <v/>
      </c>
      <c r="J3636">
        <f>IF(A3636="","",TEXT(A3636,"mmm-yyyy"))</f>
        <v/>
      </c>
    </row>
    <row r="3637">
      <c r="D3637">
        <f>IFERROR(XLOOKUP(C3637,'Vendor Master'!$A$6:$A$15,'Vendor Master'!$B$6:$B$15,""),"")</f>
        <v/>
      </c>
      <c r="J3637">
        <f>IF(A3637="","",TEXT(A3637,"mmm-yyyy"))</f>
        <v/>
      </c>
    </row>
    <row r="3638">
      <c r="D3638">
        <f>IFERROR(XLOOKUP(C3638,'Vendor Master'!$A$6:$A$15,'Vendor Master'!$B$6:$B$15,""),"")</f>
        <v/>
      </c>
      <c r="J3638">
        <f>IF(A3638="","",TEXT(A3638,"mmm-yyyy"))</f>
        <v/>
      </c>
    </row>
    <row r="3639">
      <c r="D3639">
        <f>IFERROR(XLOOKUP(C3639,'Vendor Master'!$A$6:$A$15,'Vendor Master'!$B$6:$B$15,""),"")</f>
        <v/>
      </c>
      <c r="J3639">
        <f>IF(A3639="","",TEXT(A3639,"mmm-yyyy"))</f>
        <v/>
      </c>
    </row>
    <row r="3640">
      <c r="D3640">
        <f>IFERROR(XLOOKUP(C3640,'Vendor Master'!$A$6:$A$15,'Vendor Master'!$B$6:$B$15,""),"")</f>
        <v/>
      </c>
      <c r="J3640">
        <f>IF(A3640="","",TEXT(A3640,"mmm-yyyy"))</f>
        <v/>
      </c>
    </row>
    <row r="3641">
      <c r="D3641">
        <f>IFERROR(XLOOKUP(C3641,'Vendor Master'!$A$6:$A$15,'Vendor Master'!$B$6:$B$15,""),"")</f>
        <v/>
      </c>
      <c r="J3641">
        <f>IF(A3641="","",TEXT(A3641,"mmm-yyyy"))</f>
        <v/>
      </c>
    </row>
    <row r="3642">
      <c r="D3642">
        <f>IFERROR(XLOOKUP(C3642,'Vendor Master'!$A$6:$A$15,'Vendor Master'!$B$6:$B$15,""),"")</f>
        <v/>
      </c>
      <c r="J3642">
        <f>IF(A3642="","",TEXT(A3642,"mmm-yyyy"))</f>
        <v/>
      </c>
    </row>
    <row r="3643">
      <c r="D3643">
        <f>IFERROR(XLOOKUP(C3643,'Vendor Master'!$A$6:$A$15,'Vendor Master'!$B$6:$B$15,""),"")</f>
        <v/>
      </c>
      <c r="J3643">
        <f>IF(A3643="","",TEXT(A3643,"mmm-yyyy"))</f>
        <v/>
      </c>
    </row>
    <row r="3644">
      <c r="D3644">
        <f>IFERROR(XLOOKUP(C3644,'Vendor Master'!$A$6:$A$15,'Vendor Master'!$B$6:$B$15,""),"")</f>
        <v/>
      </c>
      <c r="J3644">
        <f>IF(A3644="","",TEXT(A3644,"mmm-yyyy"))</f>
        <v/>
      </c>
    </row>
    <row r="3645">
      <c r="D3645">
        <f>IFERROR(XLOOKUP(C3645,'Vendor Master'!$A$6:$A$15,'Vendor Master'!$B$6:$B$15,""),"")</f>
        <v/>
      </c>
      <c r="J3645">
        <f>IF(A3645="","",TEXT(A3645,"mmm-yyyy"))</f>
        <v/>
      </c>
    </row>
    <row r="3646">
      <c r="D3646">
        <f>IFERROR(XLOOKUP(C3646,'Vendor Master'!$A$6:$A$15,'Vendor Master'!$B$6:$B$15,""),"")</f>
        <v/>
      </c>
      <c r="J3646">
        <f>IF(A3646="","",TEXT(A3646,"mmm-yyyy"))</f>
        <v/>
      </c>
    </row>
    <row r="3647">
      <c r="D3647">
        <f>IFERROR(XLOOKUP(C3647,'Vendor Master'!$A$6:$A$15,'Vendor Master'!$B$6:$B$15,""),"")</f>
        <v/>
      </c>
      <c r="J3647">
        <f>IF(A3647="","",TEXT(A3647,"mmm-yyyy"))</f>
        <v/>
      </c>
    </row>
    <row r="3648">
      <c r="D3648">
        <f>IFERROR(XLOOKUP(C3648,'Vendor Master'!$A$6:$A$15,'Vendor Master'!$B$6:$B$15,""),"")</f>
        <v/>
      </c>
      <c r="J3648">
        <f>IF(A3648="","",TEXT(A3648,"mmm-yyyy"))</f>
        <v/>
      </c>
    </row>
    <row r="3649">
      <c r="D3649">
        <f>IFERROR(XLOOKUP(C3649,'Vendor Master'!$A$6:$A$15,'Vendor Master'!$B$6:$B$15,""),"")</f>
        <v/>
      </c>
      <c r="J3649">
        <f>IF(A3649="","",TEXT(A3649,"mmm-yyyy"))</f>
        <v/>
      </c>
    </row>
    <row r="3650">
      <c r="D3650">
        <f>IFERROR(XLOOKUP(C3650,'Vendor Master'!$A$6:$A$15,'Vendor Master'!$B$6:$B$15,""),"")</f>
        <v/>
      </c>
      <c r="J3650">
        <f>IF(A3650="","",TEXT(A3650,"mmm-yyyy"))</f>
        <v/>
      </c>
    </row>
    <row r="3651">
      <c r="D3651">
        <f>IFERROR(XLOOKUP(C3651,'Vendor Master'!$A$6:$A$15,'Vendor Master'!$B$6:$B$15,""),"")</f>
        <v/>
      </c>
      <c r="J3651">
        <f>IF(A3651="","",TEXT(A3651,"mmm-yyyy"))</f>
        <v/>
      </c>
    </row>
    <row r="3652">
      <c r="D3652">
        <f>IFERROR(XLOOKUP(C3652,'Vendor Master'!$A$6:$A$15,'Vendor Master'!$B$6:$B$15,""),"")</f>
        <v/>
      </c>
      <c r="J3652">
        <f>IF(A3652="","",TEXT(A3652,"mmm-yyyy"))</f>
        <v/>
      </c>
    </row>
    <row r="3653">
      <c r="D3653">
        <f>IFERROR(XLOOKUP(C3653,'Vendor Master'!$A$6:$A$15,'Vendor Master'!$B$6:$B$15,""),"")</f>
        <v/>
      </c>
      <c r="J3653">
        <f>IF(A3653="","",TEXT(A3653,"mmm-yyyy"))</f>
        <v/>
      </c>
    </row>
    <row r="3654">
      <c r="D3654">
        <f>IFERROR(XLOOKUP(C3654,'Vendor Master'!$A$6:$A$15,'Vendor Master'!$B$6:$B$15,""),"")</f>
        <v/>
      </c>
      <c r="J3654">
        <f>IF(A3654="","",TEXT(A3654,"mmm-yyyy"))</f>
        <v/>
      </c>
    </row>
    <row r="3655">
      <c r="D3655">
        <f>IFERROR(XLOOKUP(C3655,'Vendor Master'!$A$6:$A$15,'Vendor Master'!$B$6:$B$15,""),"")</f>
        <v/>
      </c>
      <c r="J3655">
        <f>IF(A3655="","",TEXT(A3655,"mmm-yyyy"))</f>
        <v/>
      </c>
    </row>
    <row r="3656">
      <c r="D3656">
        <f>IFERROR(XLOOKUP(C3656,'Vendor Master'!$A$6:$A$15,'Vendor Master'!$B$6:$B$15,""),"")</f>
        <v/>
      </c>
      <c r="J3656">
        <f>IF(A3656="","",TEXT(A3656,"mmm-yyyy"))</f>
        <v/>
      </c>
    </row>
    <row r="3657">
      <c r="D3657">
        <f>IFERROR(XLOOKUP(C3657,'Vendor Master'!$A$6:$A$15,'Vendor Master'!$B$6:$B$15,""),"")</f>
        <v/>
      </c>
      <c r="J3657">
        <f>IF(A3657="","",TEXT(A3657,"mmm-yyyy"))</f>
        <v/>
      </c>
    </row>
    <row r="3658">
      <c r="D3658">
        <f>IFERROR(XLOOKUP(C3658,'Vendor Master'!$A$6:$A$15,'Vendor Master'!$B$6:$B$15,""),"")</f>
        <v/>
      </c>
      <c r="J3658">
        <f>IF(A3658="","",TEXT(A3658,"mmm-yyyy"))</f>
        <v/>
      </c>
    </row>
    <row r="3659">
      <c r="D3659">
        <f>IFERROR(XLOOKUP(C3659,'Vendor Master'!$A$6:$A$15,'Vendor Master'!$B$6:$B$15,""),"")</f>
        <v/>
      </c>
      <c r="J3659">
        <f>IF(A3659="","",TEXT(A3659,"mmm-yyyy"))</f>
        <v/>
      </c>
    </row>
    <row r="3660">
      <c r="D3660">
        <f>IFERROR(XLOOKUP(C3660,'Vendor Master'!$A$6:$A$15,'Vendor Master'!$B$6:$B$15,""),"")</f>
        <v/>
      </c>
      <c r="J3660">
        <f>IF(A3660="","",TEXT(A3660,"mmm-yyyy"))</f>
        <v/>
      </c>
    </row>
    <row r="3661">
      <c r="D3661">
        <f>IFERROR(XLOOKUP(C3661,'Vendor Master'!$A$6:$A$15,'Vendor Master'!$B$6:$B$15,""),"")</f>
        <v/>
      </c>
      <c r="J3661">
        <f>IF(A3661="","",TEXT(A3661,"mmm-yyyy"))</f>
        <v/>
      </c>
    </row>
    <row r="3662">
      <c r="D3662">
        <f>IFERROR(XLOOKUP(C3662,'Vendor Master'!$A$6:$A$15,'Vendor Master'!$B$6:$B$15,""),"")</f>
        <v/>
      </c>
      <c r="J3662">
        <f>IF(A3662="","",TEXT(A3662,"mmm-yyyy"))</f>
        <v/>
      </c>
    </row>
    <row r="3663">
      <c r="D3663">
        <f>IFERROR(XLOOKUP(C3663,'Vendor Master'!$A$6:$A$15,'Vendor Master'!$B$6:$B$15,""),"")</f>
        <v/>
      </c>
      <c r="J3663">
        <f>IF(A3663="","",TEXT(A3663,"mmm-yyyy"))</f>
        <v/>
      </c>
    </row>
    <row r="3664">
      <c r="D3664">
        <f>IFERROR(XLOOKUP(C3664,'Vendor Master'!$A$6:$A$15,'Vendor Master'!$B$6:$B$15,""),"")</f>
        <v/>
      </c>
      <c r="J3664">
        <f>IF(A3664="","",TEXT(A3664,"mmm-yyyy"))</f>
        <v/>
      </c>
    </row>
    <row r="3665">
      <c r="D3665">
        <f>IFERROR(XLOOKUP(C3665,'Vendor Master'!$A$6:$A$15,'Vendor Master'!$B$6:$B$15,""),"")</f>
        <v/>
      </c>
      <c r="J3665">
        <f>IF(A3665="","",TEXT(A3665,"mmm-yyyy"))</f>
        <v/>
      </c>
    </row>
    <row r="3666">
      <c r="D3666">
        <f>IFERROR(XLOOKUP(C3666,'Vendor Master'!$A$6:$A$15,'Vendor Master'!$B$6:$B$15,""),"")</f>
        <v/>
      </c>
      <c r="J3666">
        <f>IF(A3666="","",TEXT(A3666,"mmm-yyyy"))</f>
        <v/>
      </c>
    </row>
    <row r="3667">
      <c r="D3667">
        <f>IFERROR(XLOOKUP(C3667,'Vendor Master'!$A$6:$A$15,'Vendor Master'!$B$6:$B$15,""),"")</f>
        <v/>
      </c>
      <c r="J3667">
        <f>IF(A3667="","",TEXT(A3667,"mmm-yyyy"))</f>
        <v/>
      </c>
    </row>
    <row r="3668">
      <c r="D3668">
        <f>IFERROR(XLOOKUP(C3668,'Vendor Master'!$A$6:$A$15,'Vendor Master'!$B$6:$B$15,""),"")</f>
        <v/>
      </c>
      <c r="J3668">
        <f>IF(A3668="","",TEXT(A3668,"mmm-yyyy"))</f>
        <v/>
      </c>
    </row>
    <row r="3669">
      <c r="D3669">
        <f>IFERROR(XLOOKUP(C3669,'Vendor Master'!$A$6:$A$15,'Vendor Master'!$B$6:$B$15,""),"")</f>
        <v/>
      </c>
      <c r="J3669">
        <f>IF(A3669="","",TEXT(A3669,"mmm-yyyy"))</f>
        <v/>
      </c>
    </row>
    <row r="3670">
      <c r="D3670">
        <f>IFERROR(XLOOKUP(C3670,'Vendor Master'!$A$6:$A$15,'Vendor Master'!$B$6:$B$15,""),"")</f>
        <v/>
      </c>
      <c r="J3670">
        <f>IF(A3670="","",TEXT(A3670,"mmm-yyyy"))</f>
        <v/>
      </c>
    </row>
    <row r="3671">
      <c r="D3671">
        <f>IFERROR(XLOOKUP(C3671,'Vendor Master'!$A$6:$A$15,'Vendor Master'!$B$6:$B$15,""),"")</f>
        <v/>
      </c>
      <c r="J3671">
        <f>IF(A3671="","",TEXT(A3671,"mmm-yyyy"))</f>
        <v/>
      </c>
    </row>
    <row r="3672">
      <c r="D3672">
        <f>IFERROR(XLOOKUP(C3672,'Vendor Master'!$A$6:$A$15,'Vendor Master'!$B$6:$B$15,""),"")</f>
        <v/>
      </c>
      <c r="J3672">
        <f>IF(A3672="","",TEXT(A3672,"mmm-yyyy"))</f>
        <v/>
      </c>
    </row>
    <row r="3673">
      <c r="D3673">
        <f>IFERROR(XLOOKUP(C3673,'Vendor Master'!$A$6:$A$15,'Vendor Master'!$B$6:$B$15,""),"")</f>
        <v/>
      </c>
      <c r="J3673">
        <f>IF(A3673="","",TEXT(A3673,"mmm-yyyy"))</f>
        <v/>
      </c>
    </row>
    <row r="3674">
      <c r="D3674">
        <f>IFERROR(XLOOKUP(C3674,'Vendor Master'!$A$6:$A$15,'Vendor Master'!$B$6:$B$15,""),"")</f>
        <v/>
      </c>
      <c r="J3674">
        <f>IF(A3674="","",TEXT(A3674,"mmm-yyyy"))</f>
        <v/>
      </c>
    </row>
    <row r="3675">
      <c r="D3675">
        <f>IFERROR(XLOOKUP(C3675,'Vendor Master'!$A$6:$A$15,'Vendor Master'!$B$6:$B$15,""),"")</f>
        <v/>
      </c>
      <c r="J3675">
        <f>IF(A3675="","",TEXT(A3675,"mmm-yyyy"))</f>
        <v/>
      </c>
    </row>
    <row r="3676">
      <c r="D3676">
        <f>IFERROR(XLOOKUP(C3676,'Vendor Master'!$A$6:$A$15,'Vendor Master'!$B$6:$B$15,""),"")</f>
        <v/>
      </c>
      <c r="J3676">
        <f>IF(A3676="","",TEXT(A3676,"mmm-yyyy"))</f>
        <v/>
      </c>
    </row>
    <row r="3677">
      <c r="D3677">
        <f>IFERROR(XLOOKUP(C3677,'Vendor Master'!$A$6:$A$15,'Vendor Master'!$B$6:$B$15,""),"")</f>
        <v/>
      </c>
      <c r="J3677">
        <f>IF(A3677="","",TEXT(A3677,"mmm-yyyy"))</f>
        <v/>
      </c>
    </row>
    <row r="3678">
      <c r="D3678">
        <f>IFERROR(XLOOKUP(C3678,'Vendor Master'!$A$6:$A$15,'Vendor Master'!$B$6:$B$15,""),"")</f>
        <v/>
      </c>
      <c r="J3678">
        <f>IF(A3678="","",TEXT(A3678,"mmm-yyyy"))</f>
        <v/>
      </c>
    </row>
    <row r="3679">
      <c r="D3679">
        <f>IFERROR(XLOOKUP(C3679,'Vendor Master'!$A$6:$A$15,'Vendor Master'!$B$6:$B$15,""),"")</f>
        <v/>
      </c>
      <c r="J3679">
        <f>IF(A3679="","",TEXT(A3679,"mmm-yyyy"))</f>
        <v/>
      </c>
    </row>
    <row r="3680">
      <c r="D3680">
        <f>IFERROR(XLOOKUP(C3680,'Vendor Master'!$A$6:$A$15,'Vendor Master'!$B$6:$B$15,""),"")</f>
        <v/>
      </c>
      <c r="J3680">
        <f>IF(A3680="","",TEXT(A3680,"mmm-yyyy"))</f>
        <v/>
      </c>
    </row>
    <row r="3681">
      <c r="D3681">
        <f>IFERROR(XLOOKUP(C3681,'Vendor Master'!$A$6:$A$15,'Vendor Master'!$B$6:$B$15,""),"")</f>
        <v/>
      </c>
      <c r="J3681">
        <f>IF(A3681="","",TEXT(A3681,"mmm-yyyy"))</f>
        <v/>
      </c>
    </row>
    <row r="3682">
      <c r="D3682">
        <f>IFERROR(XLOOKUP(C3682,'Vendor Master'!$A$6:$A$15,'Vendor Master'!$B$6:$B$15,""),"")</f>
        <v/>
      </c>
      <c r="J3682">
        <f>IF(A3682="","",TEXT(A3682,"mmm-yyyy"))</f>
        <v/>
      </c>
    </row>
    <row r="3683">
      <c r="D3683">
        <f>IFERROR(XLOOKUP(C3683,'Vendor Master'!$A$6:$A$15,'Vendor Master'!$B$6:$B$15,""),"")</f>
        <v/>
      </c>
      <c r="J3683">
        <f>IF(A3683="","",TEXT(A3683,"mmm-yyyy"))</f>
        <v/>
      </c>
    </row>
    <row r="3684">
      <c r="D3684">
        <f>IFERROR(XLOOKUP(C3684,'Vendor Master'!$A$6:$A$15,'Vendor Master'!$B$6:$B$15,""),"")</f>
        <v/>
      </c>
      <c r="J3684">
        <f>IF(A3684="","",TEXT(A3684,"mmm-yyyy"))</f>
        <v/>
      </c>
    </row>
    <row r="3685">
      <c r="D3685">
        <f>IFERROR(XLOOKUP(C3685,'Vendor Master'!$A$6:$A$15,'Vendor Master'!$B$6:$B$15,""),"")</f>
        <v/>
      </c>
      <c r="J3685">
        <f>IF(A3685="","",TEXT(A3685,"mmm-yyyy"))</f>
        <v/>
      </c>
    </row>
    <row r="3686">
      <c r="D3686">
        <f>IFERROR(XLOOKUP(C3686,'Vendor Master'!$A$6:$A$15,'Vendor Master'!$B$6:$B$15,""),"")</f>
        <v/>
      </c>
      <c r="J3686">
        <f>IF(A3686="","",TEXT(A3686,"mmm-yyyy"))</f>
        <v/>
      </c>
    </row>
    <row r="3687">
      <c r="D3687">
        <f>IFERROR(XLOOKUP(C3687,'Vendor Master'!$A$6:$A$15,'Vendor Master'!$B$6:$B$15,""),"")</f>
        <v/>
      </c>
      <c r="J3687">
        <f>IF(A3687="","",TEXT(A3687,"mmm-yyyy"))</f>
        <v/>
      </c>
    </row>
    <row r="3688">
      <c r="D3688">
        <f>IFERROR(XLOOKUP(C3688,'Vendor Master'!$A$6:$A$15,'Vendor Master'!$B$6:$B$15,""),"")</f>
        <v/>
      </c>
      <c r="J3688">
        <f>IF(A3688="","",TEXT(A3688,"mmm-yyyy"))</f>
        <v/>
      </c>
    </row>
    <row r="3689">
      <c r="D3689">
        <f>IFERROR(XLOOKUP(C3689,'Vendor Master'!$A$6:$A$15,'Vendor Master'!$B$6:$B$15,""),"")</f>
        <v/>
      </c>
      <c r="J3689">
        <f>IF(A3689="","",TEXT(A3689,"mmm-yyyy"))</f>
        <v/>
      </c>
    </row>
    <row r="3690">
      <c r="D3690">
        <f>IFERROR(XLOOKUP(C3690,'Vendor Master'!$A$6:$A$15,'Vendor Master'!$B$6:$B$15,""),"")</f>
        <v/>
      </c>
      <c r="J3690">
        <f>IF(A3690="","",TEXT(A3690,"mmm-yyyy"))</f>
        <v/>
      </c>
    </row>
    <row r="3691">
      <c r="D3691">
        <f>IFERROR(XLOOKUP(C3691,'Vendor Master'!$A$6:$A$15,'Vendor Master'!$B$6:$B$15,""),"")</f>
        <v/>
      </c>
      <c r="J3691">
        <f>IF(A3691="","",TEXT(A3691,"mmm-yyyy"))</f>
        <v/>
      </c>
    </row>
    <row r="3692">
      <c r="D3692">
        <f>IFERROR(XLOOKUP(C3692,'Vendor Master'!$A$6:$A$15,'Vendor Master'!$B$6:$B$15,""),"")</f>
        <v/>
      </c>
      <c r="J3692">
        <f>IF(A3692="","",TEXT(A3692,"mmm-yyyy"))</f>
        <v/>
      </c>
    </row>
    <row r="3693">
      <c r="D3693">
        <f>IFERROR(XLOOKUP(C3693,'Vendor Master'!$A$6:$A$15,'Vendor Master'!$B$6:$B$15,""),"")</f>
        <v/>
      </c>
      <c r="J3693">
        <f>IF(A3693="","",TEXT(A3693,"mmm-yyyy"))</f>
        <v/>
      </c>
    </row>
    <row r="3694">
      <c r="D3694">
        <f>IFERROR(XLOOKUP(C3694,'Vendor Master'!$A$6:$A$15,'Vendor Master'!$B$6:$B$15,""),"")</f>
        <v/>
      </c>
      <c r="J3694">
        <f>IF(A3694="","",TEXT(A3694,"mmm-yyyy"))</f>
        <v/>
      </c>
    </row>
    <row r="3695">
      <c r="D3695">
        <f>IFERROR(XLOOKUP(C3695,'Vendor Master'!$A$6:$A$15,'Vendor Master'!$B$6:$B$15,""),"")</f>
        <v/>
      </c>
      <c r="J3695">
        <f>IF(A3695="","",TEXT(A3695,"mmm-yyyy"))</f>
        <v/>
      </c>
    </row>
    <row r="3696">
      <c r="D3696">
        <f>IFERROR(XLOOKUP(C3696,'Vendor Master'!$A$6:$A$15,'Vendor Master'!$B$6:$B$15,""),"")</f>
        <v/>
      </c>
      <c r="J3696">
        <f>IF(A3696="","",TEXT(A3696,"mmm-yyyy"))</f>
        <v/>
      </c>
    </row>
    <row r="3697">
      <c r="D3697">
        <f>IFERROR(XLOOKUP(C3697,'Vendor Master'!$A$6:$A$15,'Vendor Master'!$B$6:$B$15,""),"")</f>
        <v/>
      </c>
      <c r="J3697">
        <f>IF(A3697="","",TEXT(A3697,"mmm-yyyy"))</f>
        <v/>
      </c>
    </row>
    <row r="3698">
      <c r="D3698">
        <f>IFERROR(XLOOKUP(C3698,'Vendor Master'!$A$6:$A$15,'Vendor Master'!$B$6:$B$15,""),"")</f>
        <v/>
      </c>
      <c r="J3698">
        <f>IF(A3698="","",TEXT(A3698,"mmm-yyyy"))</f>
        <v/>
      </c>
    </row>
    <row r="3699">
      <c r="D3699">
        <f>IFERROR(XLOOKUP(C3699,'Vendor Master'!$A$6:$A$15,'Vendor Master'!$B$6:$B$15,""),"")</f>
        <v/>
      </c>
      <c r="J3699">
        <f>IF(A3699="","",TEXT(A3699,"mmm-yyyy"))</f>
        <v/>
      </c>
    </row>
    <row r="3700">
      <c r="D3700">
        <f>IFERROR(XLOOKUP(C3700,'Vendor Master'!$A$6:$A$15,'Vendor Master'!$B$6:$B$15,""),"")</f>
        <v/>
      </c>
      <c r="J3700">
        <f>IF(A3700="","",TEXT(A3700,"mmm-yyyy"))</f>
        <v/>
      </c>
    </row>
    <row r="3701">
      <c r="D3701">
        <f>IFERROR(XLOOKUP(C3701,'Vendor Master'!$A$6:$A$15,'Vendor Master'!$B$6:$B$15,""),"")</f>
        <v/>
      </c>
      <c r="J3701">
        <f>IF(A3701="","",TEXT(A3701,"mmm-yyyy"))</f>
        <v/>
      </c>
    </row>
    <row r="3702">
      <c r="D3702">
        <f>IFERROR(XLOOKUP(C3702,'Vendor Master'!$A$6:$A$15,'Vendor Master'!$B$6:$B$15,""),"")</f>
        <v/>
      </c>
      <c r="J3702">
        <f>IF(A3702="","",TEXT(A3702,"mmm-yyyy"))</f>
        <v/>
      </c>
    </row>
    <row r="3703">
      <c r="D3703">
        <f>IFERROR(XLOOKUP(C3703,'Vendor Master'!$A$6:$A$15,'Vendor Master'!$B$6:$B$15,""),"")</f>
        <v/>
      </c>
      <c r="J3703">
        <f>IF(A3703="","",TEXT(A3703,"mmm-yyyy"))</f>
        <v/>
      </c>
    </row>
    <row r="3704">
      <c r="D3704">
        <f>IFERROR(XLOOKUP(C3704,'Vendor Master'!$A$6:$A$15,'Vendor Master'!$B$6:$B$15,""),"")</f>
        <v/>
      </c>
      <c r="J3704">
        <f>IF(A3704="","",TEXT(A3704,"mmm-yyyy"))</f>
        <v/>
      </c>
    </row>
    <row r="3705">
      <c r="D3705">
        <f>IFERROR(XLOOKUP(C3705,'Vendor Master'!$A$6:$A$15,'Vendor Master'!$B$6:$B$15,""),"")</f>
        <v/>
      </c>
      <c r="J3705">
        <f>IF(A3705="","",TEXT(A3705,"mmm-yyyy"))</f>
        <v/>
      </c>
    </row>
    <row r="3706">
      <c r="D3706">
        <f>IFERROR(XLOOKUP(C3706,'Vendor Master'!$A$6:$A$15,'Vendor Master'!$B$6:$B$15,""),"")</f>
        <v/>
      </c>
      <c r="J3706">
        <f>IF(A3706="","",TEXT(A3706,"mmm-yyyy"))</f>
        <v/>
      </c>
    </row>
    <row r="3707">
      <c r="D3707">
        <f>IFERROR(XLOOKUP(C3707,'Vendor Master'!$A$6:$A$15,'Vendor Master'!$B$6:$B$15,""),"")</f>
        <v/>
      </c>
      <c r="J3707">
        <f>IF(A3707="","",TEXT(A3707,"mmm-yyyy"))</f>
        <v/>
      </c>
    </row>
    <row r="3708">
      <c r="D3708">
        <f>IFERROR(XLOOKUP(C3708,'Vendor Master'!$A$6:$A$15,'Vendor Master'!$B$6:$B$15,""),"")</f>
        <v/>
      </c>
      <c r="J3708">
        <f>IF(A3708="","",TEXT(A3708,"mmm-yyyy"))</f>
        <v/>
      </c>
    </row>
    <row r="3709">
      <c r="D3709">
        <f>IFERROR(XLOOKUP(C3709,'Vendor Master'!$A$6:$A$15,'Vendor Master'!$B$6:$B$15,""),"")</f>
        <v/>
      </c>
      <c r="J3709">
        <f>IF(A3709="","",TEXT(A3709,"mmm-yyyy"))</f>
        <v/>
      </c>
    </row>
    <row r="3710">
      <c r="D3710">
        <f>IFERROR(XLOOKUP(C3710,'Vendor Master'!$A$6:$A$15,'Vendor Master'!$B$6:$B$15,""),"")</f>
        <v/>
      </c>
      <c r="J3710">
        <f>IF(A3710="","",TEXT(A3710,"mmm-yyyy"))</f>
        <v/>
      </c>
    </row>
    <row r="3711">
      <c r="D3711">
        <f>IFERROR(XLOOKUP(C3711,'Vendor Master'!$A$6:$A$15,'Vendor Master'!$B$6:$B$15,""),"")</f>
        <v/>
      </c>
      <c r="J3711">
        <f>IF(A3711="","",TEXT(A3711,"mmm-yyyy"))</f>
        <v/>
      </c>
    </row>
    <row r="3712">
      <c r="D3712">
        <f>IFERROR(XLOOKUP(C3712,'Vendor Master'!$A$6:$A$15,'Vendor Master'!$B$6:$B$15,""),"")</f>
        <v/>
      </c>
      <c r="J3712">
        <f>IF(A3712="","",TEXT(A3712,"mmm-yyyy"))</f>
        <v/>
      </c>
    </row>
    <row r="3713">
      <c r="D3713">
        <f>IFERROR(XLOOKUP(C3713,'Vendor Master'!$A$6:$A$15,'Vendor Master'!$B$6:$B$15,""),"")</f>
        <v/>
      </c>
      <c r="J3713">
        <f>IF(A3713="","",TEXT(A3713,"mmm-yyyy"))</f>
        <v/>
      </c>
    </row>
    <row r="3714">
      <c r="D3714">
        <f>IFERROR(XLOOKUP(C3714,'Vendor Master'!$A$6:$A$15,'Vendor Master'!$B$6:$B$15,""),"")</f>
        <v/>
      </c>
      <c r="J3714">
        <f>IF(A3714="","",TEXT(A3714,"mmm-yyyy"))</f>
        <v/>
      </c>
    </row>
    <row r="3715">
      <c r="D3715">
        <f>IFERROR(XLOOKUP(C3715,'Vendor Master'!$A$6:$A$15,'Vendor Master'!$B$6:$B$15,""),"")</f>
        <v/>
      </c>
      <c r="J3715">
        <f>IF(A3715="","",TEXT(A3715,"mmm-yyyy"))</f>
        <v/>
      </c>
    </row>
    <row r="3716">
      <c r="D3716">
        <f>IFERROR(XLOOKUP(C3716,'Vendor Master'!$A$6:$A$15,'Vendor Master'!$B$6:$B$15,""),"")</f>
        <v/>
      </c>
      <c r="J3716">
        <f>IF(A3716="","",TEXT(A3716,"mmm-yyyy"))</f>
        <v/>
      </c>
    </row>
    <row r="3717">
      <c r="D3717">
        <f>IFERROR(XLOOKUP(C3717,'Vendor Master'!$A$6:$A$15,'Vendor Master'!$B$6:$B$15,""),"")</f>
        <v/>
      </c>
      <c r="J3717">
        <f>IF(A3717="","",TEXT(A3717,"mmm-yyyy"))</f>
        <v/>
      </c>
    </row>
    <row r="3718">
      <c r="D3718">
        <f>IFERROR(XLOOKUP(C3718,'Vendor Master'!$A$6:$A$15,'Vendor Master'!$B$6:$B$15,""),"")</f>
        <v/>
      </c>
      <c r="J3718">
        <f>IF(A3718="","",TEXT(A3718,"mmm-yyyy"))</f>
        <v/>
      </c>
    </row>
    <row r="3719">
      <c r="D3719">
        <f>IFERROR(XLOOKUP(C3719,'Vendor Master'!$A$6:$A$15,'Vendor Master'!$B$6:$B$15,""),"")</f>
        <v/>
      </c>
      <c r="J3719">
        <f>IF(A3719="","",TEXT(A3719,"mmm-yyyy"))</f>
        <v/>
      </c>
    </row>
    <row r="3720">
      <c r="D3720">
        <f>IFERROR(XLOOKUP(C3720,'Vendor Master'!$A$6:$A$15,'Vendor Master'!$B$6:$B$15,""),"")</f>
        <v/>
      </c>
      <c r="J3720">
        <f>IF(A3720="","",TEXT(A3720,"mmm-yyyy"))</f>
        <v/>
      </c>
    </row>
    <row r="3721">
      <c r="D3721">
        <f>IFERROR(XLOOKUP(C3721,'Vendor Master'!$A$6:$A$15,'Vendor Master'!$B$6:$B$15,""),"")</f>
        <v/>
      </c>
      <c r="J3721">
        <f>IF(A3721="","",TEXT(A3721,"mmm-yyyy"))</f>
        <v/>
      </c>
    </row>
    <row r="3722">
      <c r="D3722">
        <f>IFERROR(XLOOKUP(C3722,'Vendor Master'!$A$6:$A$15,'Vendor Master'!$B$6:$B$15,""),"")</f>
        <v/>
      </c>
      <c r="J3722">
        <f>IF(A3722="","",TEXT(A3722,"mmm-yyyy"))</f>
        <v/>
      </c>
    </row>
    <row r="3723">
      <c r="D3723">
        <f>IFERROR(XLOOKUP(C3723,'Vendor Master'!$A$6:$A$15,'Vendor Master'!$B$6:$B$15,""),"")</f>
        <v/>
      </c>
      <c r="J3723">
        <f>IF(A3723="","",TEXT(A3723,"mmm-yyyy"))</f>
        <v/>
      </c>
    </row>
    <row r="3724">
      <c r="D3724">
        <f>IFERROR(XLOOKUP(C3724,'Vendor Master'!$A$6:$A$15,'Vendor Master'!$B$6:$B$15,""),"")</f>
        <v/>
      </c>
      <c r="J3724">
        <f>IF(A3724="","",TEXT(A3724,"mmm-yyyy"))</f>
        <v/>
      </c>
    </row>
    <row r="3725">
      <c r="D3725">
        <f>IFERROR(XLOOKUP(C3725,'Vendor Master'!$A$6:$A$15,'Vendor Master'!$B$6:$B$15,""),"")</f>
        <v/>
      </c>
      <c r="J3725">
        <f>IF(A3725="","",TEXT(A3725,"mmm-yyyy"))</f>
        <v/>
      </c>
    </row>
    <row r="3726">
      <c r="D3726">
        <f>IFERROR(XLOOKUP(C3726,'Vendor Master'!$A$6:$A$15,'Vendor Master'!$B$6:$B$15,""),"")</f>
        <v/>
      </c>
      <c r="J3726">
        <f>IF(A3726="","",TEXT(A3726,"mmm-yyyy"))</f>
        <v/>
      </c>
    </row>
    <row r="3727">
      <c r="D3727">
        <f>IFERROR(XLOOKUP(C3727,'Vendor Master'!$A$6:$A$15,'Vendor Master'!$B$6:$B$15,""),"")</f>
        <v/>
      </c>
      <c r="J3727">
        <f>IF(A3727="","",TEXT(A3727,"mmm-yyyy"))</f>
        <v/>
      </c>
    </row>
    <row r="3728">
      <c r="D3728">
        <f>IFERROR(XLOOKUP(C3728,'Vendor Master'!$A$6:$A$15,'Vendor Master'!$B$6:$B$15,""),"")</f>
        <v/>
      </c>
      <c r="J3728">
        <f>IF(A3728="","",TEXT(A3728,"mmm-yyyy"))</f>
        <v/>
      </c>
    </row>
    <row r="3729">
      <c r="D3729">
        <f>IFERROR(XLOOKUP(C3729,'Vendor Master'!$A$6:$A$15,'Vendor Master'!$B$6:$B$15,""),"")</f>
        <v/>
      </c>
      <c r="J3729">
        <f>IF(A3729="","",TEXT(A3729,"mmm-yyyy"))</f>
        <v/>
      </c>
    </row>
    <row r="3730">
      <c r="D3730">
        <f>IFERROR(XLOOKUP(C3730,'Vendor Master'!$A$6:$A$15,'Vendor Master'!$B$6:$B$15,""),"")</f>
        <v/>
      </c>
      <c r="J3730">
        <f>IF(A3730="","",TEXT(A3730,"mmm-yyyy"))</f>
        <v/>
      </c>
    </row>
    <row r="3731">
      <c r="D3731">
        <f>IFERROR(XLOOKUP(C3731,'Vendor Master'!$A$6:$A$15,'Vendor Master'!$B$6:$B$15,""),"")</f>
        <v/>
      </c>
      <c r="J3731">
        <f>IF(A3731="","",TEXT(A3731,"mmm-yyyy"))</f>
        <v/>
      </c>
    </row>
    <row r="3732">
      <c r="D3732">
        <f>IFERROR(XLOOKUP(C3732,'Vendor Master'!$A$6:$A$15,'Vendor Master'!$B$6:$B$15,""),"")</f>
        <v/>
      </c>
      <c r="J3732">
        <f>IF(A3732="","",TEXT(A3732,"mmm-yyyy"))</f>
        <v/>
      </c>
    </row>
    <row r="3733">
      <c r="D3733">
        <f>IFERROR(XLOOKUP(C3733,'Vendor Master'!$A$6:$A$15,'Vendor Master'!$B$6:$B$15,""),"")</f>
        <v/>
      </c>
      <c r="J3733">
        <f>IF(A3733="","",TEXT(A3733,"mmm-yyyy"))</f>
        <v/>
      </c>
    </row>
    <row r="3734">
      <c r="D3734">
        <f>IFERROR(XLOOKUP(C3734,'Vendor Master'!$A$6:$A$15,'Vendor Master'!$B$6:$B$15,""),"")</f>
        <v/>
      </c>
      <c r="J3734">
        <f>IF(A3734="","",TEXT(A3734,"mmm-yyyy"))</f>
        <v/>
      </c>
    </row>
    <row r="3735">
      <c r="D3735">
        <f>IFERROR(XLOOKUP(C3735,'Vendor Master'!$A$6:$A$15,'Vendor Master'!$B$6:$B$15,""),"")</f>
        <v/>
      </c>
      <c r="J3735">
        <f>IF(A3735="","",TEXT(A3735,"mmm-yyyy"))</f>
        <v/>
      </c>
    </row>
    <row r="3736">
      <c r="D3736">
        <f>IFERROR(XLOOKUP(C3736,'Vendor Master'!$A$6:$A$15,'Vendor Master'!$B$6:$B$15,""),"")</f>
        <v/>
      </c>
      <c r="J3736">
        <f>IF(A3736="","",TEXT(A3736,"mmm-yyyy"))</f>
        <v/>
      </c>
    </row>
    <row r="3737">
      <c r="D3737">
        <f>IFERROR(XLOOKUP(C3737,'Vendor Master'!$A$6:$A$15,'Vendor Master'!$B$6:$B$15,""),"")</f>
        <v/>
      </c>
      <c r="J3737">
        <f>IF(A3737="","",TEXT(A3737,"mmm-yyyy"))</f>
        <v/>
      </c>
    </row>
    <row r="3738">
      <c r="D3738">
        <f>IFERROR(XLOOKUP(C3738,'Vendor Master'!$A$6:$A$15,'Vendor Master'!$B$6:$B$15,""),"")</f>
        <v/>
      </c>
      <c r="J3738">
        <f>IF(A3738="","",TEXT(A3738,"mmm-yyyy"))</f>
        <v/>
      </c>
    </row>
    <row r="3739">
      <c r="D3739">
        <f>IFERROR(XLOOKUP(C3739,'Vendor Master'!$A$6:$A$15,'Vendor Master'!$B$6:$B$15,""),"")</f>
        <v/>
      </c>
      <c r="J3739">
        <f>IF(A3739="","",TEXT(A3739,"mmm-yyyy"))</f>
        <v/>
      </c>
    </row>
    <row r="3740">
      <c r="D3740">
        <f>IFERROR(XLOOKUP(C3740,'Vendor Master'!$A$6:$A$15,'Vendor Master'!$B$6:$B$15,""),"")</f>
        <v/>
      </c>
      <c r="J3740">
        <f>IF(A3740="","",TEXT(A3740,"mmm-yyyy"))</f>
        <v/>
      </c>
    </row>
    <row r="3741">
      <c r="D3741">
        <f>IFERROR(XLOOKUP(C3741,'Vendor Master'!$A$6:$A$15,'Vendor Master'!$B$6:$B$15,""),"")</f>
        <v/>
      </c>
      <c r="J3741">
        <f>IF(A3741="","",TEXT(A3741,"mmm-yyyy"))</f>
        <v/>
      </c>
    </row>
    <row r="3742">
      <c r="D3742">
        <f>IFERROR(XLOOKUP(C3742,'Vendor Master'!$A$6:$A$15,'Vendor Master'!$B$6:$B$15,""),"")</f>
        <v/>
      </c>
      <c r="J3742">
        <f>IF(A3742="","",TEXT(A3742,"mmm-yyyy"))</f>
        <v/>
      </c>
    </row>
    <row r="3743">
      <c r="D3743">
        <f>IFERROR(XLOOKUP(C3743,'Vendor Master'!$A$6:$A$15,'Vendor Master'!$B$6:$B$15,""),"")</f>
        <v/>
      </c>
      <c r="J3743">
        <f>IF(A3743="","",TEXT(A3743,"mmm-yyyy"))</f>
        <v/>
      </c>
    </row>
    <row r="3744">
      <c r="D3744">
        <f>IFERROR(XLOOKUP(C3744,'Vendor Master'!$A$6:$A$15,'Vendor Master'!$B$6:$B$15,""),"")</f>
        <v/>
      </c>
      <c r="J3744">
        <f>IF(A3744="","",TEXT(A3744,"mmm-yyyy"))</f>
        <v/>
      </c>
    </row>
    <row r="3745">
      <c r="D3745">
        <f>IFERROR(XLOOKUP(C3745,'Vendor Master'!$A$6:$A$15,'Vendor Master'!$B$6:$B$15,""),"")</f>
        <v/>
      </c>
      <c r="J3745">
        <f>IF(A3745="","",TEXT(A3745,"mmm-yyyy"))</f>
        <v/>
      </c>
    </row>
    <row r="3746">
      <c r="D3746">
        <f>IFERROR(XLOOKUP(C3746,'Vendor Master'!$A$6:$A$15,'Vendor Master'!$B$6:$B$15,""),"")</f>
        <v/>
      </c>
      <c r="J3746">
        <f>IF(A3746="","",TEXT(A3746,"mmm-yyyy"))</f>
        <v/>
      </c>
    </row>
    <row r="3747">
      <c r="D3747">
        <f>IFERROR(XLOOKUP(C3747,'Vendor Master'!$A$6:$A$15,'Vendor Master'!$B$6:$B$15,""),"")</f>
        <v/>
      </c>
      <c r="J3747">
        <f>IF(A3747="","",TEXT(A3747,"mmm-yyyy"))</f>
        <v/>
      </c>
    </row>
    <row r="3748">
      <c r="D3748">
        <f>IFERROR(XLOOKUP(C3748,'Vendor Master'!$A$6:$A$15,'Vendor Master'!$B$6:$B$15,""),"")</f>
        <v/>
      </c>
      <c r="J3748">
        <f>IF(A3748="","",TEXT(A3748,"mmm-yyyy"))</f>
        <v/>
      </c>
    </row>
    <row r="3749">
      <c r="D3749">
        <f>IFERROR(XLOOKUP(C3749,'Vendor Master'!$A$6:$A$15,'Vendor Master'!$B$6:$B$15,""),"")</f>
        <v/>
      </c>
      <c r="J3749">
        <f>IF(A3749="","",TEXT(A3749,"mmm-yyyy"))</f>
        <v/>
      </c>
    </row>
    <row r="3750">
      <c r="D3750">
        <f>IFERROR(XLOOKUP(C3750,'Vendor Master'!$A$6:$A$15,'Vendor Master'!$B$6:$B$15,""),"")</f>
        <v/>
      </c>
      <c r="J3750">
        <f>IF(A3750="","",TEXT(A3750,"mmm-yyyy"))</f>
        <v/>
      </c>
    </row>
    <row r="3751">
      <c r="D3751">
        <f>IFERROR(XLOOKUP(C3751,'Vendor Master'!$A$6:$A$15,'Vendor Master'!$B$6:$B$15,""),"")</f>
        <v/>
      </c>
      <c r="J3751">
        <f>IF(A3751="","",TEXT(A3751,"mmm-yyyy"))</f>
        <v/>
      </c>
    </row>
    <row r="3752">
      <c r="D3752">
        <f>IFERROR(XLOOKUP(C3752,'Vendor Master'!$A$6:$A$15,'Vendor Master'!$B$6:$B$15,""),"")</f>
        <v/>
      </c>
      <c r="J3752">
        <f>IF(A3752="","",TEXT(A3752,"mmm-yyyy"))</f>
        <v/>
      </c>
    </row>
    <row r="3753">
      <c r="D3753">
        <f>IFERROR(XLOOKUP(C3753,'Vendor Master'!$A$6:$A$15,'Vendor Master'!$B$6:$B$15,""),"")</f>
        <v/>
      </c>
      <c r="J3753">
        <f>IF(A3753="","",TEXT(A3753,"mmm-yyyy"))</f>
        <v/>
      </c>
    </row>
    <row r="3754">
      <c r="D3754">
        <f>IFERROR(XLOOKUP(C3754,'Vendor Master'!$A$6:$A$15,'Vendor Master'!$B$6:$B$15,""),"")</f>
        <v/>
      </c>
      <c r="J3754">
        <f>IF(A3754="","",TEXT(A3754,"mmm-yyyy"))</f>
        <v/>
      </c>
    </row>
    <row r="3755">
      <c r="D3755">
        <f>IFERROR(XLOOKUP(C3755,'Vendor Master'!$A$6:$A$15,'Vendor Master'!$B$6:$B$15,""),"")</f>
        <v/>
      </c>
      <c r="J3755">
        <f>IF(A3755="","",TEXT(A3755,"mmm-yyyy"))</f>
        <v/>
      </c>
    </row>
    <row r="3756">
      <c r="D3756">
        <f>IFERROR(XLOOKUP(C3756,'Vendor Master'!$A$6:$A$15,'Vendor Master'!$B$6:$B$15,""),"")</f>
        <v/>
      </c>
      <c r="J3756">
        <f>IF(A3756="","",TEXT(A3756,"mmm-yyyy"))</f>
        <v/>
      </c>
    </row>
    <row r="3757">
      <c r="D3757">
        <f>IFERROR(XLOOKUP(C3757,'Vendor Master'!$A$6:$A$15,'Vendor Master'!$B$6:$B$15,""),"")</f>
        <v/>
      </c>
      <c r="J3757">
        <f>IF(A3757="","",TEXT(A3757,"mmm-yyyy"))</f>
        <v/>
      </c>
    </row>
    <row r="3758">
      <c r="D3758">
        <f>IFERROR(XLOOKUP(C3758,'Vendor Master'!$A$6:$A$15,'Vendor Master'!$B$6:$B$15,""),"")</f>
        <v/>
      </c>
      <c r="J3758">
        <f>IF(A3758="","",TEXT(A3758,"mmm-yyyy"))</f>
        <v/>
      </c>
    </row>
    <row r="3759">
      <c r="D3759">
        <f>IFERROR(XLOOKUP(C3759,'Vendor Master'!$A$6:$A$15,'Vendor Master'!$B$6:$B$15,""),"")</f>
        <v/>
      </c>
      <c r="J3759">
        <f>IF(A3759="","",TEXT(A3759,"mmm-yyyy"))</f>
        <v/>
      </c>
    </row>
    <row r="3760">
      <c r="D3760">
        <f>IFERROR(XLOOKUP(C3760,'Vendor Master'!$A$6:$A$15,'Vendor Master'!$B$6:$B$15,""),"")</f>
        <v/>
      </c>
      <c r="J3760">
        <f>IF(A3760="","",TEXT(A3760,"mmm-yyyy"))</f>
        <v/>
      </c>
    </row>
    <row r="3761">
      <c r="D3761">
        <f>IFERROR(XLOOKUP(C3761,'Vendor Master'!$A$6:$A$15,'Vendor Master'!$B$6:$B$15,""),"")</f>
        <v/>
      </c>
      <c r="J3761">
        <f>IF(A3761="","",TEXT(A3761,"mmm-yyyy"))</f>
        <v/>
      </c>
    </row>
    <row r="3762">
      <c r="D3762">
        <f>IFERROR(XLOOKUP(C3762,'Vendor Master'!$A$6:$A$15,'Vendor Master'!$B$6:$B$15,""),"")</f>
        <v/>
      </c>
      <c r="J3762">
        <f>IF(A3762="","",TEXT(A3762,"mmm-yyyy"))</f>
        <v/>
      </c>
    </row>
    <row r="3763">
      <c r="D3763">
        <f>IFERROR(XLOOKUP(C3763,'Vendor Master'!$A$6:$A$15,'Vendor Master'!$B$6:$B$15,""),"")</f>
        <v/>
      </c>
      <c r="J3763">
        <f>IF(A3763="","",TEXT(A3763,"mmm-yyyy"))</f>
        <v/>
      </c>
    </row>
    <row r="3764">
      <c r="D3764">
        <f>IFERROR(XLOOKUP(C3764,'Vendor Master'!$A$6:$A$15,'Vendor Master'!$B$6:$B$15,""),"")</f>
        <v/>
      </c>
      <c r="J3764">
        <f>IF(A3764="","",TEXT(A3764,"mmm-yyyy"))</f>
        <v/>
      </c>
    </row>
    <row r="3765">
      <c r="D3765">
        <f>IFERROR(XLOOKUP(C3765,'Vendor Master'!$A$6:$A$15,'Vendor Master'!$B$6:$B$15,""),"")</f>
        <v/>
      </c>
      <c r="J3765">
        <f>IF(A3765="","",TEXT(A3765,"mmm-yyyy"))</f>
        <v/>
      </c>
    </row>
    <row r="3766">
      <c r="D3766">
        <f>IFERROR(XLOOKUP(C3766,'Vendor Master'!$A$6:$A$15,'Vendor Master'!$B$6:$B$15,""),"")</f>
        <v/>
      </c>
      <c r="J3766">
        <f>IF(A3766="","",TEXT(A3766,"mmm-yyyy"))</f>
        <v/>
      </c>
    </row>
    <row r="3767">
      <c r="D3767">
        <f>IFERROR(XLOOKUP(C3767,'Vendor Master'!$A$6:$A$15,'Vendor Master'!$B$6:$B$15,""),"")</f>
        <v/>
      </c>
      <c r="J3767">
        <f>IF(A3767="","",TEXT(A3767,"mmm-yyyy"))</f>
        <v/>
      </c>
    </row>
    <row r="3768">
      <c r="D3768">
        <f>IFERROR(XLOOKUP(C3768,'Vendor Master'!$A$6:$A$15,'Vendor Master'!$B$6:$B$15,""),"")</f>
        <v/>
      </c>
      <c r="J3768">
        <f>IF(A3768="","",TEXT(A3768,"mmm-yyyy"))</f>
        <v/>
      </c>
    </row>
    <row r="3769">
      <c r="D3769">
        <f>IFERROR(XLOOKUP(C3769,'Vendor Master'!$A$6:$A$15,'Vendor Master'!$B$6:$B$15,""),"")</f>
        <v/>
      </c>
      <c r="J3769">
        <f>IF(A3769="","",TEXT(A3769,"mmm-yyyy"))</f>
        <v/>
      </c>
    </row>
    <row r="3770">
      <c r="D3770">
        <f>IFERROR(XLOOKUP(C3770,'Vendor Master'!$A$6:$A$15,'Vendor Master'!$B$6:$B$15,""),"")</f>
        <v/>
      </c>
      <c r="J3770">
        <f>IF(A3770="","",TEXT(A3770,"mmm-yyyy"))</f>
        <v/>
      </c>
    </row>
    <row r="3771">
      <c r="D3771">
        <f>IFERROR(XLOOKUP(C3771,'Vendor Master'!$A$6:$A$15,'Vendor Master'!$B$6:$B$15,""),"")</f>
        <v/>
      </c>
      <c r="J3771">
        <f>IF(A3771="","",TEXT(A3771,"mmm-yyyy"))</f>
        <v/>
      </c>
    </row>
    <row r="3772">
      <c r="D3772">
        <f>IFERROR(XLOOKUP(C3772,'Vendor Master'!$A$6:$A$15,'Vendor Master'!$B$6:$B$15,""),"")</f>
        <v/>
      </c>
      <c r="J3772">
        <f>IF(A3772="","",TEXT(A3772,"mmm-yyyy"))</f>
        <v/>
      </c>
    </row>
    <row r="3773">
      <c r="D3773">
        <f>IFERROR(XLOOKUP(C3773,'Vendor Master'!$A$6:$A$15,'Vendor Master'!$B$6:$B$15,""),"")</f>
        <v/>
      </c>
      <c r="J3773">
        <f>IF(A3773="","",TEXT(A3773,"mmm-yyyy"))</f>
        <v/>
      </c>
    </row>
    <row r="3774">
      <c r="D3774">
        <f>IFERROR(XLOOKUP(C3774,'Vendor Master'!$A$6:$A$15,'Vendor Master'!$B$6:$B$15,""),"")</f>
        <v/>
      </c>
      <c r="J3774">
        <f>IF(A3774="","",TEXT(A3774,"mmm-yyyy"))</f>
        <v/>
      </c>
    </row>
    <row r="3775">
      <c r="D3775">
        <f>IFERROR(XLOOKUP(C3775,'Vendor Master'!$A$6:$A$15,'Vendor Master'!$B$6:$B$15,""),"")</f>
        <v/>
      </c>
      <c r="J3775">
        <f>IF(A3775="","",TEXT(A3775,"mmm-yyyy"))</f>
        <v/>
      </c>
    </row>
    <row r="3776">
      <c r="D3776">
        <f>IFERROR(XLOOKUP(C3776,'Vendor Master'!$A$6:$A$15,'Vendor Master'!$B$6:$B$15,""),"")</f>
        <v/>
      </c>
      <c r="J3776">
        <f>IF(A3776="","",TEXT(A3776,"mmm-yyyy"))</f>
        <v/>
      </c>
    </row>
    <row r="3777">
      <c r="D3777">
        <f>IFERROR(XLOOKUP(C3777,'Vendor Master'!$A$6:$A$15,'Vendor Master'!$B$6:$B$15,""),"")</f>
        <v/>
      </c>
      <c r="J3777">
        <f>IF(A3777="","",TEXT(A3777,"mmm-yyyy"))</f>
        <v/>
      </c>
    </row>
    <row r="3778">
      <c r="D3778">
        <f>IFERROR(XLOOKUP(C3778,'Vendor Master'!$A$6:$A$15,'Vendor Master'!$B$6:$B$15,""),"")</f>
        <v/>
      </c>
      <c r="J3778">
        <f>IF(A3778="","",TEXT(A3778,"mmm-yyyy"))</f>
        <v/>
      </c>
    </row>
    <row r="3779">
      <c r="D3779">
        <f>IFERROR(XLOOKUP(C3779,'Vendor Master'!$A$6:$A$15,'Vendor Master'!$B$6:$B$15,""),"")</f>
        <v/>
      </c>
      <c r="J3779">
        <f>IF(A3779="","",TEXT(A3779,"mmm-yyyy"))</f>
        <v/>
      </c>
    </row>
    <row r="3780">
      <c r="D3780">
        <f>IFERROR(XLOOKUP(C3780,'Vendor Master'!$A$6:$A$15,'Vendor Master'!$B$6:$B$15,""),"")</f>
        <v/>
      </c>
      <c r="J3780">
        <f>IF(A3780="","",TEXT(A3780,"mmm-yyyy"))</f>
        <v/>
      </c>
    </row>
    <row r="3781">
      <c r="D3781">
        <f>IFERROR(XLOOKUP(C3781,'Vendor Master'!$A$6:$A$15,'Vendor Master'!$B$6:$B$15,""),"")</f>
        <v/>
      </c>
      <c r="J3781">
        <f>IF(A3781="","",TEXT(A3781,"mmm-yyyy"))</f>
        <v/>
      </c>
    </row>
    <row r="3782">
      <c r="D3782">
        <f>IFERROR(XLOOKUP(C3782,'Vendor Master'!$A$6:$A$15,'Vendor Master'!$B$6:$B$15,""),"")</f>
        <v/>
      </c>
      <c r="J3782">
        <f>IF(A3782="","",TEXT(A3782,"mmm-yyyy"))</f>
        <v/>
      </c>
    </row>
    <row r="3783">
      <c r="D3783">
        <f>IFERROR(XLOOKUP(C3783,'Vendor Master'!$A$6:$A$15,'Vendor Master'!$B$6:$B$15,""),"")</f>
        <v/>
      </c>
      <c r="J3783">
        <f>IF(A3783="","",TEXT(A3783,"mmm-yyyy"))</f>
        <v/>
      </c>
    </row>
    <row r="3784">
      <c r="D3784">
        <f>IFERROR(XLOOKUP(C3784,'Vendor Master'!$A$6:$A$15,'Vendor Master'!$B$6:$B$15,""),"")</f>
        <v/>
      </c>
      <c r="J3784">
        <f>IF(A3784="","",TEXT(A3784,"mmm-yyyy"))</f>
        <v/>
      </c>
    </row>
    <row r="3785">
      <c r="D3785">
        <f>IFERROR(XLOOKUP(C3785,'Vendor Master'!$A$6:$A$15,'Vendor Master'!$B$6:$B$15,""),"")</f>
        <v/>
      </c>
      <c r="J3785">
        <f>IF(A3785="","",TEXT(A3785,"mmm-yyyy"))</f>
        <v/>
      </c>
    </row>
    <row r="3786">
      <c r="D3786">
        <f>IFERROR(XLOOKUP(C3786,'Vendor Master'!$A$6:$A$15,'Vendor Master'!$B$6:$B$15,""),"")</f>
        <v/>
      </c>
      <c r="J3786">
        <f>IF(A3786="","",TEXT(A3786,"mmm-yyyy"))</f>
        <v/>
      </c>
    </row>
    <row r="3787">
      <c r="D3787">
        <f>IFERROR(XLOOKUP(C3787,'Vendor Master'!$A$6:$A$15,'Vendor Master'!$B$6:$B$15,""),"")</f>
        <v/>
      </c>
      <c r="J3787">
        <f>IF(A3787="","",TEXT(A3787,"mmm-yyyy"))</f>
        <v/>
      </c>
    </row>
    <row r="3788">
      <c r="D3788">
        <f>IFERROR(XLOOKUP(C3788,'Vendor Master'!$A$6:$A$15,'Vendor Master'!$B$6:$B$15,""),"")</f>
        <v/>
      </c>
      <c r="J3788">
        <f>IF(A3788="","",TEXT(A3788,"mmm-yyyy"))</f>
        <v/>
      </c>
    </row>
    <row r="3789">
      <c r="D3789">
        <f>IFERROR(XLOOKUP(C3789,'Vendor Master'!$A$6:$A$15,'Vendor Master'!$B$6:$B$15,""),"")</f>
        <v/>
      </c>
      <c r="J3789">
        <f>IF(A3789="","",TEXT(A3789,"mmm-yyyy"))</f>
        <v/>
      </c>
    </row>
    <row r="3790">
      <c r="D3790">
        <f>IFERROR(XLOOKUP(C3790,'Vendor Master'!$A$6:$A$15,'Vendor Master'!$B$6:$B$15,""),"")</f>
        <v/>
      </c>
      <c r="J3790">
        <f>IF(A3790="","",TEXT(A3790,"mmm-yyyy"))</f>
        <v/>
      </c>
    </row>
    <row r="3791">
      <c r="D3791">
        <f>IFERROR(XLOOKUP(C3791,'Vendor Master'!$A$6:$A$15,'Vendor Master'!$B$6:$B$15,""),"")</f>
        <v/>
      </c>
      <c r="J3791">
        <f>IF(A3791="","",TEXT(A3791,"mmm-yyyy"))</f>
        <v/>
      </c>
    </row>
    <row r="3792">
      <c r="D3792">
        <f>IFERROR(XLOOKUP(C3792,'Vendor Master'!$A$6:$A$15,'Vendor Master'!$B$6:$B$15,""),"")</f>
        <v/>
      </c>
      <c r="J3792">
        <f>IF(A3792="","",TEXT(A3792,"mmm-yyyy"))</f>
        <v/>
      </c>
    </row>
    <row r="3793">
      <c r="D3793">
        <f>IFERROR(XLOOKUP(C3793,'Vendor Master'!$A$6:$A$15,'Vendor Master'!$B$6:$B$15,""),"")</f>
        <v/>
      </c>
      <c r="J3793">
        <f>IF(A3793="","",TEXT(A3793,"mmm-yyyy"))</f>
        <v/>
      </c>
    </row>
    <row r="3794">
      <c r="D3794">
        <f>IFERROR(XLOOKUP(C3794,'Vendor Master'!$A$6:$A$15,'Vendor Master'!$B$6:$B$15,""),"")</f>
        <v/>
      </c>
      <c r="J3794">
        <f>IF(A3794="","",TEXT(A3794,"mmm-yyyy"))</f>
        <v/>
      </c>
    </row>
    <row r="3795">
      <c r="D3795">
        <f>IFERROR(XLOOKUP(C3795,'Vendor Master'!$A$6:$A$15,'Vendor Master'!$B$6:$B$15,""),"")</f>
        <v/>
      </c>
      <c r="J3795">
        <f>IF(A3795="","",TEXT(A3795,"mmm-yyyy"))</f>
        <v/>
      </c>
    </row>
    <row r="3796">
      <c r="D3796">
        <f>IFERROR(XLOOKUP(C3796,'Vendor Master'!$A$6:$A$15,'Vendor Master'!$B$6:$B$15,""),"")</f>
        <v/>
      </c>
      <c r="J3796">
        <f>IF(A3796="","",TEXT(A3796,"mmm-yyyy"))</f>
        <v/>
      </c>
    </row>
    <row r="3797">
      <c r="D3797">
        <f>IFERROR(XLOOKUP(C3797,'Vendor Master'!$A$6:$A$15,'Vendor Master'!$B$6:$B$15,""),"")</f>
        <v/>
      </c>
      <c r="J3797">
        <f>IF(A3797="","",TEXT(A3797,"mmm-yyyy"))</f>
        <v/>
      </c>
    </row>
    <row r="3798">
      <c r="D3798">
        <f>IFERROR(XLOOKUP(C3798,'Vendor Master'!$A$6:$A$15,'Vendor Master'!$B$6:$B$15,""),"")</f>
        <v/>
      </c>
      <c r="J3798">
        <f>IF(A3798="","",TEXT(A3798,"mmm-yyyy"))</f>
        <v/>
      </c>
    </row>
    <row r="3799">
      <c r="D3799">
        <f>IFERROR(XLOOKUP(C3799,'Vendor Master'!$A$6:$A$15,'Vendor Master'!$B$6:$B$15,""),"")</f>
        <v/>
      </c>
      <c r="J3799">
        <f>IF(A3799="","",TEXT(A3799,"mmm-yyyy"))</f>
        <v/>
      </c>
    </row>
    <row r="3800">
      <c r="D3800">
        <f>IFERROR(XLOOKUP(C3800,'Vendor Master'!$A$6:$A$15,'Vendor Master'!$B$6:$B$15,""),"")</f>
        <v/>
      </c>
      <c r="J3800">
        <f>IF(A3800="","",TEXT(A3800,"mmm-yyyy"))</f>
        <v/>
      </c>
    </row>
    <row r="3801">
      <c r="D3801">
        <f>IFERROR(XLOOKUP(C3801,'Vendor Master'!$A$6:$A$15,'Vendor Master'!$B$6:$B$15,""),"")</f>
        <v/>
      </c>
      <c r="J3801">
        <f>IF(A3801="","",TEXT(A3801,"mmm-yyyy"))</f>
        <v/>
      </c>
    </row>
    <row r="3802">
      <c r="D3802">
        <f>IFERROR(XLOOKUP(C3802,'Vendor Master'!$A$6:$A$15,'Vendor Master'!$B$6:$B$15,""),"")</f>
        <v/>
      </c>
      <c r="J3802">
        <f>IF(A3802="","",TEXT(A3802,"mmm-yyyy"))</f>
        <v/>
      </c>
    </row>
    <row r="3803">
      <c r="D3803">
        <f>IFERROR(XLOOKUP(C3803,'Vendor Master'!$A$6:$A$15,'Vendor Master'!$B$6:$B$15,""),"")</f>
        <v/>
      </c>
      <c r="J3803">
        <f>IF(A3803="","",TEXT(A3803,"mmm-yyyy"))</f>
        <v/>
      </c>
    </row>
    <row r="3804">
      <c r="D3804">
        <f>IFERROR(XLOOKUP(C3804,'Vendor Master'!$A$6:$A$15,'Vendor Master'!$B$6:$B$15,""),"")</f>
        <v/>
      </c>
      <c r="J3804">
        <f>IF(A3804="","",TEXT(A3804,"mmm-yyyy"))</f>
        <v/>
      </c>
    </row>
    <row r="3805">
      <c r="D3805">
        <f>IFERROR(XLOOKUP(C3805,'Vendor Master'!$A$6:$A$15,'Vendor Master'!$B$6:$B$15,""),"")</f>
        <v/>
      </c>
      <c r="J3805">
        <f>IF(A3805="","",TEXT(A3805,"mmm-yyyy"))</f>
        <v/>
      </c>
    </row>
    <row r="3806">
      <c r="D3806">
        <f>IFERROR(XLOOKUP(C3806,'Vendor Master'!$A$6:$A$15,'Vendor Master'!$B$6:$B$15,""),"")</f>
        <v/>
      </c>
      <c r="J3806">
        <f>IF(A3806="","",TEXT(A3806,"mmm-yyyy"))</f>
        <v/>
      </c>
    </row>
    <row r="3807">
      <c r="D3807">
        <f>IFERROR(XLOOKUP(C3807,'Vendor Master'!$A$6:$A$15,'Vendor Master'!$B$6:$B$15,""),"")</f>
        <v/>
      </c>
      <c r="J3807">
        <f>IF(A3807="","",TEXT(A3807,"mmm-yyyy"))</f>
        <v/>
      </c>
    </row>
    <row r="3808">
      <c r="D3808">
        <f>IFERROR(XLOOKUP(C3808,'Vendor Master'!$A$6:$A$15,'Vendor Master'!$B$6:$B$15,""),"")</f>
        <v/>
      </c>
      <c r="J3808">
        <f>IF(A3808="","",TEXT(A3808,"mmm-yyyy"))</f>
        <v/>
      </c>
    </row>
    <row r="3809">
      <c r="D3809">
        <f>IFERROR(XLOOKUP(C3809,'Vendor Master'!$A$6:$A$15,'Vendor Master'!$B$6:$B$15,""),"")</f>
        <v/>
      </c>
      <c r="J3809">
        <f>IF(A3809="","",TEXT(A3809,"mmm-yyyy"))</f>
        <v/>
      </c>
    </row>
    <row r="3810">
      <c r="D3810">
        <f>IFERROR(XLOOKUP(C3810,'Vendor Master'!$A$6:$A$15,'Vendor Master'!$B$6:$B$15,""),"")</f>
        <v/>
      </c>
      <c r="J3810">
        <f>IF(A3810="","",TEXT(A3810,"mmm-yyyy"))</f>
        <v/>
      </c>
    </row>
    <row r="3811">
      <c r="D3811">
        <f>IFERROR(XLOOKUP(C3811,'Vendor Master'!$A$6:$A$15,'Vendor Master'!$B$6:$B$15,""),"")</f>
        <v/>
      </c>
      <c r="J3811">
        <f>IF(A3811="","",TEXT(A3811,"mmm-yyyy"))</f>
        <v/>
      </c>
    </row>
    <row r="3812">
      <c r="D3812">
        <f>IFERROR(XLOOKUP(C3812,'Vendor Master'!$A$6:$A$15,'Vendor Master'!$B$6:$B$15,""),"")</f>
        <v/>
      </c>
      <c r="J3812">
        <f>IF(A3812="","",TEXT(A3812,"mmm-yyyy"))</f>
        <v/>
      </c>
    </row>
    <row r="3813">
      <c r="D3813">
        <f>IFERROR(XLOOKUP(C3813,'Vendor Master'!$A$6:$A$15,'Vendor Master'!$B$6:$B$15,""),"")</f>
        <v/>
      </c>
      <c r="J3813">
        <f>IF(A3813="","",TEXT(A3813,"mmm-yyyy"))</f>
        <v/>
      </c>
    </row>
    <row r="3814">
      <c r="D3814">
        <f>IFERROR(XLOOKUP(C3814,'Vendor Master'!$A$6:$A$15,'Vendor Master'!$B$6:$B$15,""),"")</f>
        <v/>
      </c>
      <c r="J3814">
        <f>IF(A3814="","",TEXT(A3814,"mmm-yyyy"))</f>
        <v/>
      </c>
    </row>
    <row r="3815">
      <c r="D3815">
        <f>IFERROR(XLOOKUP(C3815,'Vendor Master'!$A$6:$A$15,'Vendor Master'!$B$6:$B$15,""),"")</f>
        <v/>
      </c>
      <c r="J3815">
        <f>IF(A3815="","",TEXT(A3815,"mmm-yyyy"))</f>
        <v/>
      </c>
    </row>
    <row r="3816">
      <c r="D3816">
        <f>IFERROR(XLOOKUP(C3816,'Vendor Master'!$A$6:$A$15,'Vendor Master'!$B$6:$B$15,""),"")</f>
        <v/>
      </c>
      <c r="J3816">
        <f>IF(A3816="","",TEXT(A3816,"mmm-yyyy"))</f>
        <v/>
      </c>
    </row>
    <row r="3817">
      <c r="D3817">
        <f>IFERROR(XLOOKUP(C3817,'Vendor Master'!$A$6:$A$15,'Vendor Master'!$B$6:$B$15,""),"")</f>
        <v/>
      </c>
      <c r="J3817">
        <f>IF(A3817="","",TEXT(A3817,"mmm-yyyy"))</f>
        <v/>
      </c>
    </row>
    <row r="3818">
      <c r="D3818">
        <f>IFERROR(XLOOKUP(C3818,'Vendor Master'!$A$6:$A$15,'Vendor Master'!$B$6:$B$15,""),"")</f>
        <v/>
      </c>
      <c r="J3818">
        <f>IF(A3818="","",TEXT(A3818,"mmm-yyyy"))</f>
        <v/>
      </c>
    </row>
    <row r="3819">
      <c r="D3819">
        <f>IFERROR(XLOOKUP(C3819,'Vendor Master'!$A$6:$A$15,'Vendor Master'!$B$6:$B$15,""),"")</f>
        <v/>
      </c>
      <c r="J3819">
        <f>IF(A3819="","",TEXT(A3819,"mmm-yyyy"))</f>
        <v/>
      </c>
    </row>
    <row r="3820">
      <c r="D3820">
        <f>IFERROR(XLOOKUP(C3820,'Vendor Master'!$A$6:$A$15,'Vendor Master'!$B$6:$B$15,""),"")</f>
        <v/>
      </c>
      <c r="J3820">
        <f>IF(A3820="","",TEXT(A3820,"mmm-yyyy"))</f>
        <v/>
      </c>
    </row>
    <row r="3821">
      <c r="D3821">
        <f>IFERROR(XLOOKUP(C3821,'Vendor Master'!$A$6:$A$15,'Vendor Master'!$B$6:$B$15,""),"")</f>
        <v/>
      </c>
      <c r="J3821">
        <f>IF(A3821="","",TEXT(A3821,"mmm-yyyy"))</f>
        <v/>
      </c>
    </row>
    <row r="3822">
      <c r="D3822">
        <f>IFERROR(XLOOKUP(C3822,'Vendor Master'!$A$6:$A$15,'Vendor Master'!$B$6:$B$15,""),"")</f>
        <v/>
      </c>
      <c r="J3822">
        <f>IF(A3822="","",TEXT(A3822,"mmm-yyyy"))</f>
        <v/>
      </c>
    </row>
    <row r="3823">
      <c r="D3823">
        <f>IFERROR(XLOOKUP(C3823,'Vendor Master'!$A$6:$A$15,'Vendor Master'!$B$6:$B$15,""),"")</f>
        <v/>
      </c>
      <c r="J3823">
        <f>IF(A3823="","",TEXT(A3823,"mmm-yyyy"))</f>
        <v/>
      </c>
    </row>
    <row r="3824">
      <c r="D3824">
        <f>IFERROR(XLOOKUP(C3824,'Vendor Master'!$A$6:$A$15,'Vendor Master'!$B$6:$B$15,""),"")</f>
        <v/>
      </c>
      <c r="J3824">
        <f>IF(A3824="","",TEXT(A3824,"mmm-yyyy"))</f>
        <v/>
      </c>
    </row>
    <row r="3825">
      <c r="D3825">
        <f>IFERROR(XLOOKUP(C3825,'Vendor Master'!$A$6:$A$15,'Vendor Master'!$B$6:$B$15,""),"")</f>
        <v/>
      </c>
      <c r="J3825">
        <f>IF(A3825="","",TEXT(A3825,"mmm-yyyy"))</f>
        <v/>
      </c>
    </row>
    <row r="3826">
      <c r="D3826">
        <f>IFERROR(XLOOKUP(C3826,'Vendor Master'!$A$6:$A$15,'Vendor Master'!$B$6:$B$15,""),"")</f>
        <v/>
      </c>
      <c r="J3826">
        <f>IF(A3826="","",TEXT(A3826,"mmm-yyyy"))</f>
        <v/>
      </c>
    </row>
    <row r="3827">
      <c r="D3827">
        <f>IFERROR(XLOOKUP(C3827,'Vendor Master'!$A$6:$A$15,'Vendor Master'!$B$6:$B$15,""),"")</f>
        <v/>
      </c>
      <c r="J3827">
        <f>IF(A3827="","",TEXT(A3827,"mmm-yyyy"))</f>
        <v/>
      </c>
    </row>
    <row r="3828">
      <c r="D3828">
        <f>IFERROR(XLOOKUP(C3828,'Vendor Master'!$A$6:$A$15,'Vendor Master'!$B$6:$B$15,""),"")</f>
        <v/>
      </c>
      <c r="J3828">
        <f>IF(A3828="","",TEXT(A3828,"mmm-yyyy"))</f>
        <v/>
      </c>
    </row>
    <row r="3829">
      <c r="D3829">
        <f>IFERROR(XLOOKUP(C3829,'Vendor Master'!$A$6:$A$15,'Vendor Master'!$B$6:$B$15,""),"")</f>
        <v/>
      </c>
      <c r="J3829">
        <f>IF(A3829="","",TEXT(A3829,"mmm-yyyy"))</f>
        <v/>
      </c>
    </row>
    <row r="3830">
      <c r="D3830">
        <f>IFERROR(XLOOKUP(C3830,'Vendor Master'!$A$6:$A$15,'Vendor Master'!$B$6:$B$15,""),"")</f>
        <v/>
      </c>
      <c r="J3830">
        <f>IF(A3830="","",TEXT(A3830,"mmm-yyyy"))</f>
        <v/>
      </c>
    </row>
    <row r="3831">
      <c r="D3831">
        <f>IFERROR(XLOOKUP(C3831,'Vendor Master'!$A$6:$A$15,'Vendor Master'!$B$6:$B$15,""),"")</f>
        <v/>
      </c>
      <c r="J3831">
        <f>IF(A3831="","",TEXT(A3831,"mmm-yyyy"))</f>
        <v/>
      </c>
    </row>
    <row r="3832">
      <c r="D3832">
        <f>IFERROR(XLOOKUP(C3832,'Vendor Master'!$A$6:$A$15,'Vendor Master'!$B$6:$B$15,""),"")</f>
        <v/>
      </c>
      <c r="J3832">
        <f>IF(A3832="","",TEXT(A3832,"mmm-yyyy"))</f>
        <v/>
      </c>
    </row>
    <row r="3833">
      <c r="D3833">
        <f>IFERROR(XLOOKUP(C3833,'Vendor Master'!$A$6:$A$15,'Vendor Master'!$B$6:$B$15,""),"")</f>
        <v/>
      </c>
      <c r="J3833">
        <f>IF(A3833="","",TEXT(A3833,"mmm-yyyy"))</f>
        <v/>
      </c>
    </row>
    <row r="3834">
      <c r="D3834">
        <f>IFERROR(XLOOKUP(C3834,'Vendor Master'!$A$6:$A$15,'Vendor Master'!$B$6:$B$15,""),"")</f>
        <v/>
      </c>
      <c r="J3834">
        <f>IF(A3834="","",TEXT(A3834,"mmm-yyyy"))</f>
        <v/>
      </c>
    </row>
    <row r="3835">
      <c r="D3835">
        <f>IFERROR(XLOOKUP(C3835,'Vendor Master'!$A$6:$A$15,'Vendor Master'!$B$6:$B$15,""),"")</f>
        <v/>
      </c>
      <c r="J3835">
        <f>IF(A3835="","",TEXT(A3835,"mmm-yyyy"))</f>
        <v/>
      </c>
    </row>
    <row r="3836">
      <c r="D3836">
        <f>IFERROR(XLOOKUP(C3836,'Vendor Master'!$A$6:$A$15,'Vendor Master'!$B$6:$B$15,""),"")</f>
        <v/>
      </c>
      <c r="J3836">
        <f>IF(A3836="","",TEXT(A3836,"mmm-yyyy"))</f>
        <v/>
      </c>
    </row>
    <row r="3837">
      <c r="D3837">
        <f>IFERROR(XLOOKUP(C3837,'Vendor Master'!$A$6:$A$15,'Vendor Master'!$B$6:$B$15,""),"")</f>
        <v/>
      </c>
      <c r="J3837">
        <f>IF(A3837="","",TEXT(A3837,"mmm-yyyy"))</f>
        <v/>
      </c>
    </row>
    <row r="3838">
      <c r="D3838">
        <f>IFERROR(XLOOKUP(C3838,'Vendor Master'!$A$6:$A$15,'Vendor Master'!$B$6:$B$15,""),"")</f>
        <v/>
      </c>
      <c r="J3838">
        <f>IF(A3838="","",TEXT(A3838,"mmm-yyyy"))</f>
        <v/>
      </c>
    </row>
    <row r="3839">
      <c r="D3839">
        <f>IFERROR(XLOOKUP(C3839,'Vendor Master'!$A$6:$A$15,'Vendor Master'!$B$6:$B$15,""),"")</f>
        <v/>
      </c>
      <c r="J3839">
        <f>IF(A3839="","",TEXT(A3839,"mmm-yyyy"))</f>
        <v/>
      </c>
    </row>
    <row r="3840">
      <c r="D3840">
        <f>IFERROR(XLOOKUP(C3840,'Vendor Master'!$A$6:$A$15,'Vendor Master'!$B$6:$B$15,""),"")</f>
        <v/>
      </c>
      <c r="J3840">
        <f>IF(A3840="","",TEXT(A3840,"mmm-yyyy"))</f>
        <v/>
      </c>
    </row>
    <row r="3841">
      <c r="D3841">
        <f>IFERROR(XLOOKUP(C3841,'Vendor Master'!$A$6:$A$15,'Vendor Master'!$B$6:$B$15,""),"")</f>
        <v/>
      </c>
      <c r="J3841">
        <f>IF(A3841="","",TEXT(A3841,"mmm-yyyy"))</f>
        <v/>
      </c>
    </row>
    <row r="3842">
      <c r="D3842">
        <f>IFERROR(XLOOKUP(C3842,'Vendor Master'!$A$6:$A$15,'Vendor Master'!$B$6:$B$15,""),"")</f>
        <v/>
      </c>
      <c r="J3842">
        <f>IF(A3842="","",TEXT(A3842,"mmm-yyyy"))</f>
        <v/>
      </c>
    </row>
    <row r="3843">
      <c r="D3843">
        <f>IFERROR(XLOOKUP(C3843,'Vendor Master'!$A$6:$A$15,'Vendor Master'!$B$6:$B$15,""),"")</f>
        <v/>
      </c>
      <c r="J3843">
        <f>IF(A3843="","",TEXT(A3843,"mmm-yyyy"))</f>
        <v/>
      </c>
    </row>
    <row r="3844">
      <c r="D3844">
        <f>IFERROR(XLOOKUP(C3844,'Vendor Master'!$A$6:$A$15,'Vendor Master'!$B$6:$B$15,""),"")</f>
        <v/>
      </c>
      <c r="J3844">
        <f>IF(A3844="","",TEXT(A3844,"mmm-yyyy"))</f>
        <v/>
      </c>
    </row>
    <row r="3845">
      <c r="D3845">
        <f>IFERROR(XLOOKUP(C3845,'Vendor Master'!$A$6:$A$15,'Vendor Master'!$B$6:$B$15,""),"")</f>
        <v/>
      </c>
      <c r="J3845">
        <f>IF(A3845="","",TEXT(A3845,"mmm-yyyy"))</f>
        <v/>
      </c>
    </row>
    <row r="3846">
      <c r="D3846">
        <f>IFERROR(XLOOKUP(C3846,'Vendor Master'!$A$6:$A$15,'Vendor Master'!$B$6:$B$15,""),"")</f>
        <v/>
      </c>
      <c r="J3846">
        <f>IF(A3846="","",TEXT(A3846,"mmm-yyyy"))</f>
        <v/>
      </c>
    </row>
    <row r="3847">
      <c r="D3847">
        <f>IFERROR(XLOOKUP(C3847,'Vendor Master'!$A$6:$A$15,'Vendor Master'!$B$6:$B$15,""),"")</f>
        <v/>
      </c>
      <c r="J3847">
        <f>IF(A3847="","",TEXT(A3847,"mmm-yyyy"))</f>
        <v/>
      </c>
    </row>
    <row r="3848">
      <c r="D3848">
        <f>IFERROR(XLOOKUP(C3848,'Vendor Master'!$A$6:$A$15,'Vendor Master'!$B$6:$B$15,""),"")</f>
        <v/>
      </c>
      <c r="J3848">
        <f>IF(A3848="","",TEXT(A3848,"mmm-yyyy"))</f>
        <v/>
      </c>
    </row>
    <row r="3849">
      <c r="D3849">
        <f>IFERROR(XLOOKUP(C3849,'Vendor Master'!$A$6:$A$15,'Vendor Master'!$B$6:$B$15,""),"")</f>
        <v/>
      </c>
      <c r="J3849">
        <f>IF(A3849="","",TEXT(A3849,"mmm-yyyy"))</f>
        <v/>
      </c>
    </row>
    <row r="3850">
      <c r="D3850">
        <f>IFERROR(XLOOKUP(C3850,'Vendor Master'!$A$6:$A$15,'Vendor Master'!$B$6:$B$15,""),"")</f>
        <v/>
      </c>
      <c r="J3850">
        <f>IF(A3850="","",TEXT(A3850,"mmm-yyyy"))</f>
        <v/>
      </c>
    </row>
    <row r="3851">
      <c r="D3851">
        <f>IFERROR(XLOOKUP(C3851,'Vendor Master'!$A$6:$A$15,'Vendor Master'!$B$6:$B$15,""),"")</f>
        <v/>
      </c>
      <c r="J3851">
        <f>IF(A3851="","",TEXT(A3851,"mmm-yyyy"))</f>
        <v/>
      </c>
    </row>
    <row r="3852">
      <c r="D3852">
        <f>IFERROR(XLOOKUP(C3852,'Vendor Master'!$A$6:$A$15,'Vendor Master'!$B$6:$B$15,""),"")</f>
        <v/>
      </c>
      <c r="J3852">
        <f>IF(A3852="","",TEXT(A3852,"mmm-yyyy"))</f>
        <v/>
      </c>
    </row>
    <row r="3853">
      <c r="D3853">
        <f>IFERROR(XLOOKUP(C3853,'Vendor Master'!$A$6:$A$15,'Vendor Master'!$B$6:$B$15,""),"")</f>
        <v/>
      </c>
      <c r="J3853">
        <f>IF(A3853="","",TEXT(A3853,"mmm-yyyy"))</f>
        <v/>
      </c>
    </row>
    <row r="3854">
      <c r="D3854">
        <f>IFERROR(XLOOKUP(C3854,'Vendor Master'!$A$6:$A$15,'Vendor Master'!$B$6:$B$15,""),"")</f>
        <v/>
      </c>
      <c r="J3854">
        <f>IF(A3854="","",TEXT(A3854,"mmm-yyyy"))</f>
        <v/>
      </c>
    </row>
    <row r="3855">
      <c r="D3855">
        <f>IFERROR(XLOOKUP(C3855,'Vendor Master'!$A$6:$A$15,'Vendor Master'!$B$6:$B$15,""),"")</f>
        <v/>
      </c>
      <c r="J3855">
        <f>IF(A3855="","",TEXT(A3855,"mmm-yyyy"))</f>
        <v/>
      </c>
    </row>
    <row r="3856">
      <c r="D3856">
        <f>IFERROR(XLOOKUP(C3856,'Vendor Master'!$A$6:$A$15,'Vendor Master'!$B$6:$B$15,""),"")</f>
        <v/>
      </c>
      <c r="J3856">
        <f>IF(A3856="","",TEXT(A3856,"mmm-yyyy"))</f>
        <v/>
      </c>
    </row>
    <row r="3857">
      <c r="D3857">
        <f>IFERROR(XLOOKUP(C3857,'Vendor Master'!$A$6:$A$15,'Vendor Master'!$B$6:$B$15,""),"")</f>
        <v/>
      </c>
      <c r="J3857">
        <f>IF(A3857="","",TEXT(A3857,"mmm-yyyy"))</f>
        <v/>
      </c>
    </row>
    <row r="3858">
      <c r="D3858">
        <f>IFERROR(XLOOKUP(C3858,'Vendor Master'!$A$6:$A$15,'Vendor Master'!$B$6:$B$15,""),"")</f>
        <v/>
      </c>
      <c r="J3858">
        <f>IF(A3858="","",TEXT(A3858,"mmm-yyyy"))</f>
        <v/>
      </c>
    </row>
    <row r="3859">
      <c r="D3859">
        <f>IFERROR(XLOOKUP(C3859,'Vendor Master'!$A$6:$A$15,'Vendor Master'!$B$6:$B$15,""),"")</f>
        <v/>
      </c>
      <c r="J3859">
        <f>IF(A3859="","",TEXT(A3859,"mmm-yyyy"))</f>
        <v/>
      </c>
    </row>
    <row r="3860">
      <c r="D3860">
        <f>IFERROR(XLOOKUP(C3860,'Vendor Master'!$A$6:$A$15,'Vendor Master'!$B$6:$B$15,""),"")</f>
        <v/>
      </c>
      <c r="J3860">
        <f>IF(A3860="","",TEXT(A3860,"mmm-yyyy"))</f>
        <v/>
      </c>
    </row>
    <row r="3861">
      <c r="D3861">
        <f>IFERROR(XLOOKUP(C3861,'Vendor Master'!$A$6:$A$15,'Vendor Master'!$B$6:$B$15,""),"")</f>
        <v/>
      </c>
      <c r="J3861">
        <f>IF(A3861="","",TEXT(A3861,"mmm-yyyy"))</f>
        <v/>
      </c>
    </row>
    <row r="3862">
      <c r="D3862">
        <f>IFERROR(XLOOKUP(C3862,'Vendor Master'!$A$6:$A$15,'Vendor Master'!$B$6:$B$15,""),"")</f>
        <v/>
      </c>
      <c r="J3862">
        <f>IF(A3862="","",TEXT(A3862,"mmm-yyyy"))</f>
        <v/>
      </c>
    </row>
    <row r="3863">
      <c r="D3863">
        <f>IFERROR(XLOOKUP(C3863,'Vendor Master'!$A$6:$A$15,'Vendor Master'!$B$6:$B$15,""),"")</f>
        <v/>
      </c>
      <c r="J3863">
        <f>IF(A3863="","",TEXT(A3863,"mmm-yyyy"))</f>
        <v/>
      </c>
    </row>
    <row r="3864">
      <c r="D3864">
        <f>IFERROR(XLOOKUP(C3864,'Vendor Master'!$A$6:$A$15,'Vendor Master'!$B$6:$B$15,""),"")</f>
        <v/>
      </c>
      <c r="J3864">
        <f>IF(A3864="","",TEXT(A3864,"mmm-yyyy"))</f>
        <v/>
      </c>
    </row>
    <row r="3865">
      <c r="D3865">
        <f>IFERROR(XLOOKUP(C3865,'Vendor Master'!$A$6:$A$15,'Vendor Master'!$B$6:$B$15,""),"")</f>
        <v/>
      </c>
      <c r="J3865">
        <f>IF(A3865="","",TEXT(A3865,"mmm-yyyy"))</f>
        <v/>
      </c>
    </row>
    <row r="3866">
      <c r="D3866">
        <f>IFERROR(XLOOKUP(C3866,'Vendor Master'!$A$6:$A$15,'Vendor Master'!$B$6:$B$15,""),"")</f>
        <v/>
      </c>
      <c r="J3866">
        <f>IF(A3866="","",TEXT(A3866,"mmm-yyyy"))</f>
        <v/>
      </c>
    </row>
    <row r="3867">
      <c r="D3867">
        <f>IFERROR(XLOOKUP(C3867,'Vendor Master'!$A$6:$A$15,'Vendor Master'!$B$6:$B$15,""),"")</f>
        <v/>
      </c>
      <c r="J3867">
        <f>IF(A3867="","",TEXT(A3867,"mmm-yyyy"))</f>
        <v/>
      </c>
    </row>
    <row r="3868">
      <c r="D3868">
        <f>IFERROR(XLOOKUP(C3868,'Vendor Master'!$A$6:$A$15,'Vendor Master'!$B$6:$B$15,""),"")</f>
        <v/>
      </c>
      <c r="J3868">
        <f>IF(A3868="","",TEXT(A3868,"mmm-yyyy"))</f>
        <v/>
      </c>
    </row>
    <row r="3869">
      <c r="D3869">
        <f>IFERROR(XLOOKUP(C3869,'Vendor Master'!$A$6:$A$15,'Vendor Master'!$B$6:$B$15,""),"")</f>
        <v/>
      </c>
      <c r="J3869">
        <f>IF(A3869="","",TEXT(A3869,"mmm-yyyy"))</f>
        <v/>
      </c>
    </row>
    <row r="3870">
      <c r="D3870">
        <f>IFERROR(XLOOKUP(C3870,'Vendor Master'!$A$6:$A$15,'Vendor Master'!$B$6:$B$15,""),"")</f>
        <v/>
      </c>
      <c r="J3870">
        <f>IF(A3870="","",TEXT(A3870,"mmm-yyyy"))</f>
        <v/>
      </c>
    </row>
    <row r="3871">
      <c r="D3871">
        <f>IFERROR(XLOOKUP(C3871,'Vendor Master'!$A$6:$A$15,'Vendor Master'!$B$6:$B$15,""),"")</f>
        <v/>
      </c>
      <c r="J3871">
        <f>IF(A3871="","",TEXT(A3871,"mmm-yyyy"))</f>
        <v/>
      </c>
    </row>
    <row r="3872">
      <c r="D3872">
        <f>IFERROR(XLOOKUP(C3872,'Vendor Master'!$A$6:$A$15,'Vendor Master'!$B$6:$B$15,""),"")</f>
        <v/>
      </c>
      <c r="J3872">
        <f>IF(A3872="","",TEXT(A3872,"mmm-yyyy"))</f>
        <v/>
      </c>
    </row>
    <row r="3873">
      <c r="D3873">
        <f>IFERROR(XLOOKUP(C3873,'Vendor Master'!$A$6:$A$15,'Vendor Master'!$B$6:$B$15,""),"")</f>
        <v/>
      </c>
      <c r="J3873">
        <f>IF(A3873="","",TEXT(A3873,"mmm-yyyy"))</f>
        <v/>
      </c>
    </row>
    <row r="3874">
      <c r="D3874">
        <f>IFERROR(XLOOKUP(C3874,'Vendor Master'!$A$6:$A$15,'Vendor Master'!$B$6:$B$15,""),"")</f>
        <v/>
      </c>
      <c r="J3874">
        <f>IF(A3874="","",TEXT(A3874,"mmm-yyyy"))</f>
        <v/>
      </c>
    </row>
    <row r="3875">
      <c r="D3875">
        <f>IFERROR(XLOOKUP(C3875,'Vendor Master'!$A$6:$A$15,'Vendor Master'!$B$6:$B$15,""),"")</f>
        <v/>
      </c>
      <c r="J3875">
        <f>IF(A3875="","",TEXT(A3875,"mmm-yyyy"))</f>
        <v/>
      </c>
    </row>
    <row r="3876">
      <c r="D3876">
        <f>IFERROR(XLOOKUP(C3876,'Vendor Master'!$A$6:$A$15,'Vendor Master'!$B$6:$B$15,""),"")</f>
        <v/>
      </c>
      <c r="J3876">
        <f>IF(A3876="","",TEXT(A3876,"mmm-yyyy"))</f>
        <v/>
      </c>
    </row>
    <row r="3877">
      <c r="D3877">
        <f>IFERROR(XLOOKUP(C3877,'Vendor Master'!$A$6:$A$15,'Vendor Master'!$B$6:$B$15,""),"")</f>
        <v/>
      </c>
      <c r="J3877">
        <f>IF(A3877="","",TEXT(A3877,"mmm-yyyy"))</f>
        <v/>
      </c>
    </row>
    <row r="3878">
      <c r="D3878">
        <f>IFERROR(XLOOKUP(C3878,'Vendor Master'!$A$6:$A$15,'Vendor Master'!$B$6:$B$15,""),"")</f>
        <v/>
      </c>
      <c r="J3878">
        <f>IF(A3878="","",TEXT(A3878,"mmm-yyyy"))</f>
        <v/>
      </c>
    </row>
    <row r="3879">
      <c r="D3879">
        <f>IFERROR(XLOOKUP(C3879,'Vendor Master'!$A$6:$A$15,'Vendor Master'!$B$6:$B$15,""),"")</f>
        <v/>
      </c>
      <c r="J3879">
        <f>IF(A3879="","",TEXT(A3879,"mmm-yyyy"))</f>
        <v/>
      </c>
    </row>
    <row r="3880">
      <c r="D3880">
        <f>IFERROR(XLOOKUP(C3880,'Vendor Master'!$A$6:$A$15,'Vendor Master'!$B$6:$B$15,""),"")</f>
        <v/>
      </c>
      <c r="J3880">
        <f>IF(A3880="","",TEXT(A3880,"mmm-yyyy"))</f>
        <v/>
      </c>
    </row>
    <row r="3881">
      <c r="D3881">
        <f>IFERROR(XLOOKUP(C3881,'Vendor Master'!$A$6:$A$15,'Vendor Master'!$B$6:$B$15,""),"")</f>
        <v/>
      </c>
      <c r="J3881">
        <f>IF(A3881="","",TEXT(A3881,"mmm-yyyy"))</f>
        <v/>
      </c>
    </row>
    <row r="3882">
      <c r="D3882">
        <f>IFERROR(XLOOKUP(C3882,'Vendor Master'!$A$6:$A$15,'Vendor Master'!$B$6:$B$15,""),"")</f>
        <v/>
      </c>
      <c r="J3882">
        <f>IF(A3882="","",TEXT(A3882,"mmm-yyyy"))</f>
        <v/>
      </c>
    </row>
    <row r="3883">
      <c r="D3883">
        <f>IFERROR(XLOOKUP(C3883,'Vendor Master'!$A$6:$A$15,'Vendor Master'!$B$6:$B$15,""),"")</f>
        <v/>
      </c>
      <c r="J3883">
        <f>IF(A3883="","",TEXT(A3883,"mmm-yyyy"))</f>
        <v/>
      </c>
    </row>
    <row r="3884">
      <c r="D3884">
        <f>IFERROR(XLOOKUP(C3884,'Vendor Master'!$A$6:$A$15,'Vendor Master'!$B$6:$B$15,""),"")</f>
        <v/>
      </c>
      <c r="J3884">
        <f>IF(A3884="","",TEXT(A3884,"mmm-yyyy"))</f>
        <v/>
      </c>
    </row>
    <row r="3885">
      <c r="D3885">
        <f>IFERROR(XLOOKUP(C3885,'Vendor Master'!$A$6:$A$15,'Vendor Master'!$B$6:$B$15,""),"")</f>
        <v/>
      </c>
      <c r="J3885">
        <f>IF(A3885="","",TEXT(A3885,"mmm-yyyy"))</f>
        <v/>
      </c>
    </row>
    <row r="3886">
      <c r="D3886">
        <f>IFERROR(XLOOKUP(C3886,'Vendor Master'!$A$6:$A$15,'Vendor Master'!$B$6:$B$15,""),"")</f>
        <v/>
      </c>
      <c r="J3886">
        <f>IF(A3886="","",TEXT(A3886,"mmm-yyyy"))</f>
        <v/>
      </c>
    </row>
    <row r="3887">
      <c r="D3887">
        <f>IFERROR(XLOOKUP(C3887,'Vendor Master'!$A$6:$A$15,'Vendor Master'!$B$6:$B$15,""),"")</f>
        <v/>
      </c>
      <c r="J3887">
        <f>IF(A3887="","",TEXT(A3887,"mmm-yyyy"))</f>
        <v/>
      </c>
    </row>
    <row r="3888">
      <c r="D3888">
        <f>IFERROR(XLOOKUP(C3888,'Vendor Master'!$A$6:$A$15,'Vendor Master'!$B$6:$B$15,""),"")</f>
        <v/>
      </c>
      <c r="J3888">
        <f>IF(A3888="","",TEXT(A3888,"mmm-yyyy"))</f>
        <v/>
      </c>
    </row>
    <row r="3889">
      <c r="D3889">
        <f>IFERROR(XLOOKUP(C3889,'Vendor Master'!$A$6:$A$15,'Vendor Master'!$B$6:$B$15,""),"")</f>
        <v/>
      </c>
      <c r="J3889">
        <f>IF(A3889="","",TEXT(A3889,"mmm-yyyy"))</f>
        <v/>
      </c>
    </row>
    <row r="3890">
      <c r="D3890">
        <f>IFERROR(XLOOKUP(C3890,'Vendor Master'!$A$6:$A$15,'Vendor Master'!$B$6:$B$15,""),"")</f>
        <v/>
      </c>
      <c r="J3890">
        <f>IF(A3890="","",TEXT(A3890,"mmm-yyyy"))</f>
        <v/>
      </c>
    </row>
    <row r="3891">
      <c r="D3891">
        <f>IFERROR(XLOOKUP(C3891,'Vendor Master'!$A$6:$A$15,'Vendor Master'!$B$6:$B$15,""),"")</f>
        <v/>
      </c>
      <c r="J3891">
        <f>IF(A3891="","",TEXT(A3891,"mmm-yyyy"))</f>
        <v/>
      </c>
    </row>
    <row r="3892">
      <c r="D3892">
        <f>IFERROR(XLOOKUP(C3892,'Vendor Master'!$A$6:$A$15,'Vendor Master'!$B$6:$B$15,""),"")</f>
        <v/>
      </c>
      <c r="J3892">
        <f>IF(A3892="","",TEXT(A3892,"mmm-yyyy"))</f>
        <v/>
      </c>
    </row>
    <row r="3893">
      <c r="D3893">
        <f>IFERROR(XLOOKUP(C3893,'Vendor Master'!$A$6:$A$15,'Vendor Master'!$B$6:$B$15,""),"")</f>
        <v/>
      </c>
      <c r="J3893">
        <f>IF(A3893="","",TEXT(A3893,"mmm-yyyy"))</f>
        <v/>
      </c>
    </row>
    <row r="3894">
      <c r="D3894">
        <f>IFERROR(XLOOKUP(C3894,'Vendor Master'!$A$6:$A$15,'Vendor Master'!$B$6:$B$15,""),"")</f>
        <v/>
      </c>
      <c r="J3894">
        <f>IF(A3894="","",TEXT(A3894,"mmm-yyyy"))</f>
        <v/>
      </c>
    </row>
    <row r="3895">
      <c r="D3895">
        <f>IFERROR(XLOOKUP(C3895,'Vendor Master'!$A$6:$A$15,'Vendor Master'!$B$6:$B$15,""),"")</f>
        <v/>
      </c>
      <c r="J3895">
        <f>IF(A3895="","",TEXT(A3895,"mmm-yyyy"))</f>
        <v/>
      </c>
    </row>
    <row r="3896">
      <c r="D3896">
        <f>IFERROR(XLOOKUP(C3896,'Vendor Master'!$A$6:$A$15,'Vendor Master'!$B$6:$B$15,""),"")</f>
        <v/>
      </c>
      <c r="J3896">
        <f>IF(A3896="","",TEXT(A3896,"mmm-yyyy"))</f>
        <v/>
      </c>
    </row>
    <row r="3897">
      <c r="D3897">
        <f>IFERROR(XLOOKUP(C3897,'Vendor Master'!$A$6:$A$15,'Vendor Master'!$B$6:$B$15,""),"")</f>
        <v/>
      </c>
      <c r="J3897">
        <f>IF(A3897="","",TEXT(A3897,"mmm-yyyy"))</f>
        <v/>
      </c>
    </row>
    <row r="3898">
      <c r="D3898">
        <f>IFERROR(XLOOKUP(C3898,'Vendor Master'!$A$6:$A$15,'Vendor Master'!$B$6:$B$15,""),"")</f>
        <v/>
      </c>
      <c r="J3898">
        <f>IF(A3898="","",TEXT(A3898,"mmm-yyyy"))</f>
        <v/>
      </c>
    </row>
    <row r="3899">
      <c r="D3899">
        <f>IFERROR(XLOOKUP(C3899,'Vendor Master'!$A$6:$A$15,'Vendor Master'!$B$6:$B$15,""),"")</f>
        <v/>
      </c>
      <c r="J3899">
        <f>IF(A3899="","",TEXT(A3899,"mmm-yyyy"))</f>
        <v/>
      </c>
    </row>
    <row r="3900">
      <c r="D3900">
        <f>IFERROR(XLOOKUP(C3900,'Vendor Master'!$A$6:$A$15,'Vendor Master'!$B$6:$B$15,""),"")</f>
        <v/>
      </c>
      <c r="J3900">
        <f>IF(A3900="","",TEXT(A3900,"mmm-yyyy"))</f>
        <v/>
      </c>
    </row>
    <row r="3901">
      <c r="D3901">
        <f>IFERROR(XLOOKUP(C3901,'Vendor Master'!$A$6:$A$15,'Vendor Master'!$B$6:$B$15,""),"")</f>
        <v/>
      </c>
      <c r="J3901">
        <f>IF(A3901="","",TEXT(A3901,"mmm-yyyy"))</f>
        <v/>
      </c>
    </row>
    <row r="3902">
      <c r="D3902">
        <f>IFERROR(XLOOKUP(C3902,'Vendor Master'!$A$6:$A$15,'Vendor Master'!$B$6:$B$15,""),"")</f>
        <v/>
      </c>
      <c r="J3902">
        <f>IF(A3902="","",TEXT(A3902,"mmm-yyyy"))</f>
        <v/>
      </c>
    </row>
    <row r="3903">
      <c r="D3903">
        <f>IFERROR(XLOOKUP(C3903,'Vendor Master'!$A$6:$A$15,'Vendor Master'!$B$6:$B$15,""),"")</f>
        <v/>
      </c>
      <c r="J3903">
        <f>IF(A3903="","",TEXT(A3903,"mmm-yyyy"))</f>
        <v/>
      </c>
    </row>
    <row r="3904">
      <c r="D3904">
        <f>IFERROR(XLOOKUP(C3904,'Vendor Master'!$A$6:$A$15,'Vendor Master'!$B$6:$B$15,""),"")</f>
        <v/>
      </c>
      <c r="J3904">
        <f>IF(A3904="","",TEXT(A3904,"mmm-yyyy"))</f>
        <v/>
      </c>
    </row>
    <row r="3905">
      <c r="D3905">
        <f>IFERROR(XLOOKUP(C3905,'Vendor Master'!$A$6:$A$15,'Vendor Master'!$B$6:$B$15,""),"")</f>
        <v/>
      </c>
      <c r="J3905">
        <f>IF(A3905="","",TEXT(A3905,"mmm-yyyy"))</f>
        <v/>
      </c>
    </row>
    <row r="3906">
      <c r="D3906">
        <f>IFERROR(XLOOKUP(C3906,'Vendor Master'!$A$6:$A$15,'Vendor Master'!$B$6:$B$15,""),"")</f>
        <v/>
      </c>
      <c r="J3906">
        <f>IF(A3906="","",TEXT(A3906,"mmm-yyyy"))</f>
        <v/>
      </c>
    </row>
    <row r="3907">
      <c r="D3907">
        <f>IFERROR(XLOOKUP(C3907,'Vendor Master'!$A$6:$A$15,'Vendor Master'!$B$6:$B$15,""),"")</f>
        <v/>
      </c>
      <c r="J3907">
        <f>IF(A3907="","",TEXT(A3907,"mmm-yyyy"))</f>
        <v/>
      </c>
    </row>
    <row r="3908">
      <c r="D3908">
        <f>IFERROR(XLOOKUP(C3908,'Vendor Master'!$A$6:$A$15,'Vendor Master'!$B$6:$B$15,""),"")</f>
        <v/>
      </c>
      <c r="J3908">
        <f>IF(A3908="","",TEXT(A3908,"mmm-yyyy"))</f>
        <v/>
      </c>
    </row>
    <row r="3909">
      <c r="D3909">
        <f>IFERROR(XLOOKUP(C3909,'Vendor Master'!$A$6:$A$15,'Vendor Master'!$B$6:$B$15,""),"")</f>
        <v/>
      </c>
      <c r="J3909">
        <f>IF(A3909="","",TEXT(A3909,"mmm-yyyy"))</f>
        <v/>
      </c>
    </row>
    <row r="3910">
      <c r="D3910">
        <f>IFERROR(XLOOKUP(C3910,'Vendor Master'!$A$6:$A$15,'Vendor Master'!$B$6:$B$15,""),"")</f>
        <v/>
      </c>
      <c r="J3910">
        <f>IF(A3910="","",TEXT(A3910,"mmm-yyyy"))</f>
        <v/>
      </c>
    </row>
    <row r="3911">
      <c r="D3911">
        <f>IFERROR(XLOOKUP(C3911,'Vendor Master'!$A$6:$A$15,'Vendor Master'!$B$6:$B$15,""),"")</f>
        <v/>
      </c>
      <c r="J3911">
        <f>IF(A3911="","",TEXT(A3911,"mmm-yyyy"))</f>
        <v/>
      </c>
    </row>
    <row r="3912">
      <c r="D3912">
        <f>IFERROR(XLOOKUP(C3912,'Vendor Master'!$A$6:$A$15,'Vendor Master'!$B$6:$B$15,""),"")</f>
        <v/>
      </c>
      <c r="J3912">
        <f>IF(A3912="","",TEXT(A3912,"mmm-yyyy"))</f>
        <v/>
      </c>
    </row>
    <row r="3913">
      <c r="D3913">
        <f>IFERROR(XLOOKUP(C3913,'Vendor Master'!$A$6:$A$15,'Vendor Master'!$B$6:$B$15,""),"")</f>
        <v/>
      </c>
      <c r="J3913">
        <f>IF(A3913="","",TEXT(A3913,"mmm-yyyy"))</f>
        <v/>
      </c>
    </row>
    <row r="3914">
      <c r="D3914">
        <f>IFERROR(XLOOKUP(C3914,'Vendor Master'!$A$6:$A$15,'Vendor Master'!$B$6:$B$15,""),"")</f>
        <v/>
      </c>
      <c r="J3914">
        <f>IF(A3914="","",TEXT(A3914,"mmm-yyyy"))</f>
        <v/>
      </c>
    </row>
    <row r="3915">
      <c r="D3915">
        <f>IFERROR(XLOOKUP(C3915,'Vendor Master'!$A$6:$A$15,'Vendor Master'!$B$6:$B$15,""),"")</f>
        <v/>
      </c>
      <c r="J3915">
        <f>IF(A3915="","",TEXT(A3915,"mmm-yyyy"))</f>
        <v/>
      </c>
    </row>
    <row r="3916">
      <c r="D3916">
        <f>IFERROR(XLOOKUP(C3916,'Vendor Master'!$A$6:$A$15,'Vendor Master'!$B$6:$B$15,""),"")</f>
        <v/>
      </c>
      <c r="J3916">
        <f>IF(A3916="","",TEXT(A3916,"mmm-yyyy"))</f>
        <v/>
      </c>
    </row>
    <row r="3917">
      <c r="D3917">
        <f>IFERROR(XLOOKUP(C3917,'Vendor Master'!$A$6:$A$15,'Vendor Master'!$B$6:$B$15,""),"")</f>
        <v/>
      </c>
      <c r="J3917">
        <f>IF(A3917="","",TEXT(A3917,"mmm-yyyy"))</f>
        <v/>
      </c>
    </row>
    <row r="3918">
      <c r="D3918">
        <f>IFERROR(XLOOKUP(C3918,'Vendor Master'!$A$6:$A$15,'Vendor Master'!$B$6:$B$15,""),"")</f>
        <v/>
      </c>
      <c r="J3918">
        <f>IF(A3918="","",TEXT(A3918,"mmm-yyyy"))</f>
        <v/>
      </c>
    </row>
    <row r="3919">
      <c r="D3919">
        <f>IFERROR(XLOOKUP(C3919,'Vendor Master'!$A$6:$A$15,'Vendor Master'!$B$6:$B$15,""),"")</f>
        <v/>
      </c>
      <c r="J3919">
        <f>IF(A3919="","",TEXT(A3919,"mmm-yyyy"))</f>
        <v/>
      </c>
    </row>
    <row r="3920">
      <c r="D3920">
        <f>IFERROR(XLOOKUP(C3920,'Vendor Master'!$A$6:$A$15,'Vendor Master'!$B$6:$B$15,""),"")</f>
        <v/>
      </c>
      <c r="J3920">
        <f>IF(A3920="","",TEXT(A3920,"mmm-yyyy"))</f>
        <v/>
      </c>
    </row>
    <row r="3921">
      <c r="D3921">
        <f>IFERROR(XLOOKUP(C3921,'Vendor Master'!$A$6:$A$15,'Vendor Master'!$B$6:$B$15,""),"")</f>
        <v/>
      </c>
      <c r="J3921">
        <f>IF(A3921="","",TEXT(A3921,"mmm-yyyy"))</f>
        <v/>
      </c>
    </row>
    <row r="3922">
      <c r="D3922">
        <f>IFERROR(XLOOKUP(C3922,'Vendor Master'!$A$6:$A$15,'Vendor Master'!$B$6:$B$15,""),"")</f>
        <v/>
      </c>
      <c r="J3922">
        <f>IF(A3922="","",TEXT(A3922,"mmm-yyyy"))</f>
        <v/>
      </c>
    </row>
    <row r="3923">
      <c r="D3923">
        <f>IFERROR(XLOOKUP(C3923,'Vendor Master'!$A$6:$A$15,'Vendor Master'!$B$6:$B$15,""),"")</f>
        <v/>
      </c>
      <c r="J3923">
        <f>IF(A3923="","",TEXT(A3923,"mmm-yyyy"))</f>
        <v/>
      </c>
    </row>
    <row r="3924">
      <c r="D3924">
        <f>IFERROR(XLOOKUP(C3924,'Vendor Master'!$A$6:$A$15,'Vendor Master'!$B$6:$B$15,""),"")</f>
        <v/>
      </c>
      <c r="J3924">
        <f>IF(A3924="","",TEXT(A3924,"mmm-yyyy"))</f>
        <v/>
      </c>
    </row>
    <row r="3925">
      <c r="D3925">
        <f>IFERROR(XLOOKUP(C3925,'Vendor Master'!$A$6:$A$15,'Vendor Master'!$B$6:$B$15,""),"")</f>
        <v/>
      </c>
      <c r="J3925">
        <f>IF(A3925="","",TEXT(A3925,"mmm-yyyy"))</f>
        <v/>
      </c>
    </row>
    <row r="3926">
      <c r="D3926">
        <f>IFERROR(XLOOKUP(C3926,'Vendor Master'!$A$6:$A$15,'Vendor Master'!$B$6:$B$15,""),"")</f>
        <v/>
      </c>
      <c r="J3926">
        <f>IF(A3926="","",TEXT(A3926,"mmm-yyyy"))</f>
        <v/>
      </c>
    </row>
    <row r="3927">
      <c r="D3927">
        <f>IFERROR(XLOOKUP(C3927,'Vendor Master'!$A$6:$A$15,'Vendor Master'!$B$6:$B$15,""),"")</f>
        <v/>
      </c>
      <c r="J3927">
        <f>IF(A3927="","",TEXT(A3927,"mmm-yyyy"))</f>
        <v/>
      </c>
    </row>
    <row r="3928">
      <c r="D3928">
        <f>IFERROR(XLOOKUP(C3928,'Vendor Master'!$A$6:$A$15,'Vendor Master'!$B$6:$B$15,""),"")</f>
        <v/>
      </c>
      <c r="J3928">
        <f>IF(A3928="","",TEXT(A3928,"mmm-yyyy"))</f>
        <v/>
      </c>
    </row>
    <row r="3929">
      <c r="D3929">
        <f>IFERROR(XLOOKUP(C3929,'Vendor Master'!$A$6:$A$15,'Vendor Master'!$B$6:$B$15,""),"")</f>
        <v/>
      </c>
      <c r="J3929">
        <f>IF(A3929="","",TEXT(A3929,"mmm-yyyy"))</f>
        <v/>
      </c>
    </row>
    <row r="3930">
      <c r="D3930">
        <f>IFERROR(XLOOKUP(C3930,'Vendor Master'!$A$6:$A$15,'Vendor Master'!$B$6:$B$15,""),"")</f>
        <v/>
      </c>
      <c r="J3930">
        <f>IF(A3930="","",TEXT(A3930,"mmm-yyyy"))</f>
        <v/>
      </c>
    </row>
    <row r="3931">
      <c r="D3931">
        <f>IFERROR(XLOOKUP(C3931,'Vendor Master'!$A$6:$A$15,'Vendor Master'!$B$6:$B$15,""),"")</f>
        <v/>
      </c>
      <c r="J3931">
        <f>IF(A3931="","",TEXT(A3931,"mmm-yyyy"))</f>
        <v/>
      </c>
    </row>
    <row r="3932">
      <c r="D3932">
        <f>IFERROR(XLOOKUP(C3932,'Vendor Master'!$A$6:$A$15,'Vendor Master'!$B$6:$B$15,""),"")</f>
        <v/>
      </c>
      <c r="J3932">
        <f>IF(A3932="","",TEXT(A3932,"mmm-yyyy"))</f>
        <v/>
      </c>
    </row>
    <row r="3933">
      <c r="D3933">
        <f>IFERROR(XLOOKUP(C3933,'Vendor Master'!$A$6:$A$15,'Vendor Master'!$B$6:$B$15,""),"")</f>
        <v/>
      </c>
      <c r="J3933">
        <f>IF(A3933="","",TEXT(A3933,"mmm-yyyy"))</f>
        <v/>
      </c>
    </row>
    <row r="3934">
      <c r="D3934">
        <f>IFERROR(XLOOKUP(C3934,'Vendor Master'!$A$6:$A$15,'Vendor Master'!$B$6:$B$15,""),"")</f>
        <v/>
      </c>
      <c r="J3934">
        <f>IF(A3934="","",TEXT(A3934,"mmm-yyyy"))</f>
        <v/>
      </c>
    </row>
    <row r="3935">
      <c r="D3935">
        <f>IFERROR(XLOOKUP(C3935,'Vendor Master'!$A$6:$A$15,'Vendor Master'!$B$6:$B$15,""),"")</f>
        <v/>
      </c>
      <c r="J3935">
        <f>IF(A3935="","",TEXT(A3935,"mmm-yyyy"))</f>
        <v/>
      </c>
    </row>
    <row r="3936">
      <c r="D3936">
        <f>IFERROR(XLOOKUP(C3936,'Vendor Master'!$A$6:$A$15,'Vendor Master'!$B$6:$B$15,""),"")</f>
        <v/>
      </c>
      <c r="J3936">
        <f>IF(A3936="","",TEXT(A3936,"mmm-yyyy"))</f>
        <v/>
      </c>
    </row>
    <row r="3937">
      <c r="D3937">
        <f>IFERROR(XLOOKUP(C3937,'Vendor Master'!$A$6:$A$15,'Vendor Master'!$B$6:$B$15,""),"")</f>
        <v/>
      </c>
      <c r="J3937">
        <f>IF(A3937="","",TEXT(A3937,"mmm-yyyy"))</f>
        <v/>
      </c>
    </row>
    <row r="3938">
      <c r="D3938">
        <f>IFERROR(XLOOKUP(C3938,'Vendor Master'!$A$6:$A$15,'Vendor Master'!$B$6:$B$15,""),"")</f>
        <v/>
      </c>
      <c r="J3938">
        <f>IF(A3938="","",TEXT(A3938,"mmm-yyyy"))</f>
        <v/>
      </c>
    </row>
    <row r="3939">
      <c r="D3939">
        <f>IFERROR(XLOOKUP(C3939,'Vendor Master'!$A$6:$A$15,'Vendor Master'!$B$6:$B$15,""),"")</f>
        <v/>
      </c>
      <c r="J3939">
        <f>IF(A3939="","",TEXT(A3939,"mmm-yyyy"))</f>
        <v/>
      </c>
    </row>
    <row r="3940">
      <c r="D3940">
        <f>IFERROR(XLOOKUP(C3940,'Vendor Master'!$A$6:$A$15,'Vendor Master'!$B$6:$B$15,""),"")</f>
        <v/>
      </c>
      <c r="J3940">
        <f>IF(A3940="","",TEXT(A3940,"mmm-yyyy"))</f>
        <v/>
      </c>
    </row>
    <row r="3941">
      <c r="D3941">
        <f>IFERROR(XLOOKUP(C3941,'Vendor Master'!$A$6:$A$15,'Vendor Master'!$B$6:$B$15,""),"")</f>
        <v/>
      </c>
      <c r="J3941">
        <f>IF(A3941="","",TEXT(A3941,"mmm-yyyy"))</f>
        <v/>
      </c>
    </row>
    <row r="3942">
      <c r="D3942">
        <f>IFERROR(XLOOKUP(C3942,'Vendor Master'!$A$6:$A$15,'Vendor Master'!$B$6:$B$15,""),"")</f>
        <v/>
      </c>
      <c r="J3942">
        <f>IF(A3942="","",TEXT(A3942,"mmm-yyyy"))</f>
        <v/>
      </c>
    </row>
    <row r="3943">
      <c r="D3943">
        <f>IFERROR(XLOOKUP(C3943,'Vendor Master'!$A$6:$A$15,'Vendor Master'!$B$6:$B$15,""),"")</f>
        <v/>
      </c>
      <c r="J3943">
        <f>IF(A3943="","",TEXT(A3943,"mmm-yyyy"))</f>
        <v/>
      </c>
    </row>
    <row r="3944">
      <c r="D3944">
        <f>IFERROR(XLOOKUP(C3944,'Vendor Master'!$A$6:$A$15,'Vendor Master'!$B$6:$B$15,""),"")</f>
        <v/>
      </c>
      <c r="J3944">
        <f>IF(A3944="","",TEXT(A3944,"mmm-yyyy"))</f>
        <v/>
      </c>
    </row>
    <row r="3945">
      <c r="D3945">
        <f>IFERROR(XLOOKUP(C3945,'Vendor Master'!$A$6:$A$15,'Vendor Master'!$B$6:$B$15,""),"")</f>
        <v/>
      </c>
      <c r="J3945">
        <f>IF(A3945="","",TEXT(A3945,"mmm-yyyy"))</f>
        <v/>
      </c>
    </row>
    <row r="3946">
      <c r="D3946">
        <f>IFERROR(XLOOKUP(C3946,'Vendor Master'!$A$6:$A$15,'Vendor Master'!$B$6:$B$15,""),"")</f>
        <v/>
      </c>
      <c r="J3946">
        <f>IF(A3946="","",TEXT(A3946,"mmm-yyyy"))</f>
        <v/>
      </c>
    </row>
    <row r="3947">
      <c r="D3947">
        <f>IFERROR(XLOOKUP(C3947,'Vendor Master'!$A$6:$A$15,'Vendor Master'!$B$6:$B$15,""),"")</f>
        <v/>
      </c>
      <c r="J3947">
        <f>IF(A3947="","",TEXT(A3947,"mmm-yyyy"))</f>
        <v/>
      </c>
    </row>
    <row r="3948">
      <c r="D3948">
        <f>IFERROR(XLOOKUP(C3948,'Vendor Master'!$A$6:$A$15,'Vendor Master'!$B$6:$B$15,""),"")</f>
        <v/>
      </c>
      <c r="J3948">
        <f>IF(A3948="","",TEXT(A3948,"mmm-yyyy"))</f>
        <v/>
      </c>
    </row>
    <row r="3949">
      <c r="D3949">
        <f>IFERROR(XLOOKUP(C3949,'Vendor Master'!$A$6:$A$15,'Vendor Master'!$B$6:$B$15,""),"")</f>
        <v/>
      </c>
      <c r="J3949">
        <f>IF(A3949="","",TEXT(A3949,"mmm-yyyy"))</f>
        <v/>
      </c>
    </row>
    <row r="3950">
      <c r="D3950">
        <f>IFERROR(XLOOKUP(C3950,'Vendor Master'!$A$6:$A$15,'Vendor Master'!$B$6:$B$15,""),"")</f>
        <v/>
      </c>
      <c r="J3950">
        <f>IF(A3950="","",TEXT(A3950,"mmm-yyyy"))</f>
        <v/>
      </c>
    </row>
    <row r="3951">
      <c r="D3951">
        <f>IFERROR(XLOOKUP(C3951,'Vendor Master'!$A$6:$A$15,'Vendor Master'!$B$6:$B$15,""),"")</f>
        <v/>
      </c>
      <c r="J3951">
        <f>IF(A3951="","",TEXT(A3951,"mmm-yyyy"))</f>
        <v/>
      </c>
    </row>
    <row r="3952">
      <c r="D3952">
        <f>IFERROR(XLOOKUP(C3952,'Vendor Master'!$A$6:$A$15,'Vendor Master'!$B$6:$B$15,""),"")</f>
        <v/>
      </c>
      <c r="J3952">
        <f>IF(A3952="","",TEXT(A3952,"mmm-yyyy"))</f>
        <v/>
      </c>
    </row>
    <row r="3953">
      <c r="D3953">
        <f>IFERROR(XLOOKUP(C3953,'Vendor Master'!$A$6:$A$15,'Vendor Master'!$B$6:$B$15,""),"")</f>
        <v/>
      </c>
      <c r="J3953">
        <f>IF(A3953="","",TEXT(A3953,"mmm-yyyy"))</f>
        <v/>
      </c>
    </row>
    <row r="3954">
      <c r="D3954">
        <f>IFERROR(XLOOKUP(C3954,'Vendor Master'!$A$6:$A$15,'Vendor Master'!$B$6:$B$15,""),"")</f>
        <v/>
      </c>
      <c r="J3954">
        <f>IF(A3954="","",TEXT(A3954,"mmm-yyyy"))</f>
        <v/>
      </c>
    </row>
    <row r="3955">
      <c r="D3955">
        <f>IFERROR(XLOOKUP(C3955,'Vendor Master'!$A$6:$A$15,'Vendor Master'!$B$6:$B$15,""),"")</f>
        <v/>
      </c>
      <c r="J3955">
        <f>IF(A3955="","",TEXT(A3955,"mmm-yyyy"))</f>
        <v/>
      </c>
    </row>
    <row r="3956">
      <c r="D3956">
        <f>IFERROR(XLOOKUP(C3956,'Vendor Master'!$A$6:$A$15,'Vendor Master'!$B$6:$B$15,""),"")</f>
        <v/>
      </c>
      <c r="J3956">
        <f>IF(A3956="","",TEXT(A3956,"mmm-yyyy"))</f>
        <v/>
      </c>
    </row>
    <row r="3957">
      <c r="D3957">
        <f>IFERROR(XLOOKUP(C3957,'Vendor Master'!$A$6:$A$15,'Vendor Master'!$B$6:$B$15,""),"")</f>
        <v/>
      </c>
      <c r="J3957">
        <f>IF(A3957="","",TEXT(A3957,"mmm-yyyy"))</f>
        <v/>
      </c>
    </row>
    <row r="3958">
      <c r="D3958">
        <f>IFERROR(XLOOKUP(C3958,'Vendor Master'!$A$6:$A$15,'Vendor Master'!$B$6:$B$15,""),"")</f>
        <v/>
      </c>
      <c r="J3958">
        <f>IF(A3958="","",TEXT(A3958,"mmm-yyyy"))</f>
        <v/>
      </c>
    </row>
    <row r="3959">
      <c r="D3959">
        <f>IFERROR(XLOOKUP(C3959,'Vendor Master'!$A$6:$A$15,'Vendor Master'!$B$6:$B$15,""),"")</f>
        <v/>
      </c>
      <c r="J3959">
        <f>IF(A3959="","",TEXT(A3959,"mmm-yyyy"))</f>
        <v/>
      </c>
    </row>
    <row r="3960">
      <c r="D3960">
        <f>IFERROR(XLOOKUP(C3960,'Vendor Master'!$A$6:$A$15,'Vendor Master'!$B$6:$B$15,""),"")</f>
        <v/>
      </c>
      <c r="J3960">
        <f>IF(A3960="","",TEXT(A3960,"mmm-yyyy"))</f>
        <v/>
      </c>
    </row>
    <row r="3961">
      <c r="D3961">
        <f>IFERROR(XLOOKUP(C3961,'Vendor Master'!$A$6:$A$15,'Vendor Master'!$B$6:$B$15,""),"")</f>
        <v/>
      </c>
      <c r="J3961">
        <f>IF(A3961="","",TEXT(A3961,"mmm-yyyy"))</f>
        <v/>
      </c>
    </row>
    <row r="3962">
      <c r="D3962">
        <f>IFERROR(XLOOKUP(C3962,'Vendor Master'!$A$6:$A$15,'Vendor Master'!$B$6:$B$15,""),"")</f>
        <v/>
      </c>
      <c r="J3962">
        <f>IF(A3962="","",TEXT(A3962,"mmm-yyyy"))</f>
        <v/>
      </c>
    </row>
    <row r="3963">
      <c r="D3963">
        <f>IFERROR(XLOOKUP(C3963,'Vendor Master'!$A$6:$A$15,'Vendor Master'!$B$6:$B$15,""),"")</f>
        <v/>
      </c>
      <c r="J3963">
        <f>IF(A3963="","",TEXT(A3963,"mmm-yyyy"))</f>
        <v/>
      </c>
    </row>
    <row r="3964">
      <c r="D3964">
        <f>IFERROR(XLOOKUP(C3964,'Vendor Master'!$A$6:$A$15,'Vendor Master'!$B$6:$B$15,""),"")</f>
        <v/>
      </c>
      <c r="J3964">
        <f>IF(A3964="","",TEXT(A3964,"mmm-yyyy"))</f>
        <v/>
      </c>
    </row>
    <row r="3965">
      <c r="D3965">
        <f>IFERROR(XLOOKUP(C3965,'Vendor Master'!$A$6:$A$15,'Vendor Master'!$B$6:$B$15,""),"")</f>
        <v/>
      </c>
      <c r="J3965">
        <f>IF(A3965="","",TEXT(A3965,"mmm-yyyy"))</f>
        <v/>
      </c>
    </row>
    <row r="3966">
      <c r="D3966">
        <f>IFERROR(XLOOKUP(C3966,'Vendor Master'!$A$6:$A$15,'Vendor Master'!$B$6:$B$15,""),"")</f>
        <v/>
      </c>
      <c r="J3966">
        <f>IF(A3966="","",TEXT(A3966,"mmm-yyyy"))</f>
        <v/>
      </c>
    </row>
    <row r="3967">
      <c r="D3967">
        <f>IFERROR(XLOOKUP(C3967,'Vendor Master'!$A$6:$A$15,'Vendor Master'!$B$6:$B$15,""),"")</f>
        <v/>
      </c>
      <c r="J3967">
        <f>IF(A3967="","",TEXT(A3967,"mmm-yyyy"))</f>
        <v/>
      </c>
    </row>
    <row r="3968">
      <c r="D3968">
        <f>IFERROR(XLOOKUP(C3968,'Vendor Master'!$A$6:$A$15,'Vendor Master'!$B$6:$B$15,""),"")</f>
        <v/>
      </c>
      <c r="J3968">
        <f>IF(A3968="","",TEXT(A3968,"mmm-yyyy"))</f>
        <v/>
      </c>
    </row>
    <row r="3969">
      <c r="D3969">
        <f>IFERROR(XLOOKUP(C3969,'Vendor Master'!$A$6:$A$15,'Vendor Master'!$B$6:$B$15,""),"")</f>
        <v/>
      </c>
      <c r="J3969">
        <f>IF(A3969="","",TEXT(A3969,"mmm-yyyy"))</f>
        <v/>
      </c>
    </row>
    <row r="3970">
      <c r="D3970">
        <f>IFERROR(XLOOKUP(C3970,'Vendor Master'!$A$6:$A$15,'Vendor Master'!$B$6:$B$15,""),"")</f>
        <v/>
      </c>
      <c r="J3970">
        <f>IF(A3970="","",TEXT(A3970,"mmm-yyyy"))</f>
        <v/>
      </c>
    </row>
    <row r="3971">
      <c r="D3971">
        <f>IFERROR(XLOOKUP(C3971,'Vendor Master'!$A$6:$A$15,'Vendor Master'!$B$6:$B$15,""),"")</f>
        <v/>
      </c>
      <c r="J3971">
        <f>IF(A3971="","",TEXT(A3971,"mmm-yyyy"))</f>
        <v/>
      </c>
    </row>
    <row r="3972">
      <c r="D3972">
        <f>IFERROR(XLOOKUP(C3972,'Vendor Master'!$A$6:$A$15,'Vendor Master'!$B$6:$B$15,""),"")</f>
        <v/>
      </c>
      <c r="J3972">
        <f>IF(A3972="","",TEXT(A3972,"mmm-yyyy"))</f>
        <v/>
      </c>
    </row>
    <row r="3973">
      <c r="D3973">
        <f>IFERROR(XLOOKUP(C3973,'Vendor Master'!$A$6:$A$15,'Vendor Master'!$B$6:$B$15,""),"")</f>
        <v/>
      </c>
      <c r="J3973">
        <f>IF(A3973="","",TEXT(A3973,"mmm-yyyy"))</f>
        <v/>
      </c>
    </row>
    <row r="3974">
      <c r="D3974">
        <f>IFERROR(XLOOKUP(C3974,'Vendor Master'!$A$6:$A$15,'Vendor Master'!$B$6:$B$15,""),"")</f>
        <v/>
      </c>
      <c r="J3974">
        <f>IF(A3974="","",TEXT(A3974,"mmm-yyyy"))</f>
        <v/>
      </c>
    </row>
    <row r="3975">
      <c r="D3975">
        <f>IFERROR(XLOOKUP(C3975,'Vendor Master'!$A$6:$A$15,'Vendor Master'!$B$6:$B$15,""),"")</f>
        <v/>
      </c>
      <c r="J3975">
        <f>IF(A3975="","",TEXT(A3975,"mmm-yyyy"))</f>
        <v/>
      </c>
    </row>
    <row r="3976">
      <c r="D3976">
        <f>IFERROR(XLOOKUP(C3976,'Vendor Master'!$A$6:$A$15,'Vendor Master'!$B$6:$B$15,""),"")</f>
        <v/>
      </c>
      <c r="J3976">
        <f>IF(A3976="","",TEXT(A3976,"mmm-yyyy"))</f>
        <v/>
      </c>
    </row>
    <row r="3977">
      <c r="D3977">
        <f>IFERROR(XLOOKUP(C3977,'Vendor Master'!$A$6:$A$15,'Vendor Master'!$B$6:$B$15,""),"")</f>
        <v/>
      </c>
      <c r="J3977">
        <f>IF(A3977="","",TEXT(A3977,"mmm-yyyy"))</f>
        <v/>
      </c>
    </row>
    <row r="3978">
      <c r="D3978">
        <f>IFERROR(XLOOKUP(C3978,'Vendor Master'!$A$6:$A$15,'Vendor Master'!$B$6:$B$15,""),"")</f>
        <v/>
      </c>
      <c r="J3978">
        <f>IF(A3978="","",TEXT(A3978,"mmm-yyyy"))</f>
        <v/>
      </c>
    </row>
    <row r="3979">
      <c r="D3979">
        <f>IFERROR(XLOOKUP(C3979,'Vendor Master'!$A$6:$A$15,'Vendor Master'!$B$6:$B$15,""),"")</f>
        <v/>
      </c>
      <c r="J3979">
        <f>IF(A3979="","",TEXT(A3979,"mmm-yyyy"))</f>
        <v/>
      </c>
    </row>
    <row r="3980">
      <c r="D3980">
        <f>IFERROR(XLOOKUP(C3980,'Vendor Master'!$A$6:$A$15,'Vendor Master'!$B$6:$B$15,""),"")</f>
        <v/>
      </c>
      <c r="J3980">
        <f>IF(A3980="","",TEXT(A3980,"mmm-yyyy"))</f>
        <v/>
      </c>
    </row>
    <row r="3981">
      <c r="D3981">
        <f>IFERROR(XLOOKUP(C3981,'Vendor Master'!$A$6:$A$15,'Vendor Master'!$B$6:$B$15,""),"")</f>
        <v/>
      </c>
      <c r="J3981">
        <f>IF(A3981="","",TEXT(A3981,"mmm-yyyy"))</f>
        <v/>
      </c>
    </row>
    <row r="3982">
      <c r="D3982">
        <f>IFERROR(XLOOKUP(C3982,'Vendor Master'!$A$6:$A$15,'Vendor Master'!$B$6:$B$15,""),"")</f>
        <v/>
      </c>
      <c r="J3982">
        <f>IF(A3982="","",TEXT(A3982,"mmm-yyyy"))</f>
        <v/>
      </c>
    </row>
    <row r="3983">
      <c r="D3983">
        <f>IFERROR(XLOOKUP(C3983,'Vendor Master'!$A$6:$A$15,'Vendor Master'!$B$6:$B$15,""),"")</f>
        <v/>
      </c>
      <c r="J3983">
        <f>IF(A3983="","",TEXT(A3983,"mmm-yyyy"))</f>
        <v/>
      </c>
    </row>
    <row r="3984">
      <c r="D3984">
        <f>IFERROR(XLOOKUP(C3984,'Vendor Master'!$A$6:$A$15,'Vendor Master'!$B$6:$B$15,""),"")</f>
        <v/>
      </c>
      <c r="J3984">
        <f>IF(A3984="","",TEXT(A3984,"mmm-yyyy"))</f>
        <v/>
      </c>
    </row>
    <row r="3985">
      <c r="D3985">
        <f>IFERROR(XLOOKUP(C3985,'Vendor Master'!$A$6:$A$15,'Vendor Master'!$B$6:$B$15,""),"")</f>
        <v/>
      </c>
      <c r="J3985">
        <f>IF(A3985="","",TEXT(A3985,"mmm-yyyy"))</f>
        <v/>
      </c>
    </row>
    <row r="3986">
      <c r="D3986">
        <f>IFERROR(XLOOKUP(C3986,'Vendor Master'!$A$6:$A$15,'Vendor Master'!$B$6:$B$15,""),"")</f>
        <v/>
      </c>
      <c r="J3986">
        <f>IF(A3986="","",TEXT(A3986,"mmm-yyyy"))</f>
        <v/>
      </c>
    </row>
    <row r="3987">
      <c r="D3987">
        <f>IFERROR(XLOOKUP(C3987,'Vendor Master'!$A$6:$A$15,'Vendor Master'!$B$6:$B$15,""),"")</f>
        <v/>
      </c>
      <c r="J3987">
        <f>IF(A3987="","",TEXT(A3987,"mmm-yyyy"))</f>
        <v/>
      </c>
    </row>
    <row r="3988">
      <c r="D3988">
        <f>IFERROR(XLOOKUP(C3988,'Vendor Master'!$A$6:$A$15,'Vendor Master'!$B$6:$B$15,""),"")</f>
        <v/>
      </c>
      <c r="J3988">
        <f>IF(A3988="","",TEXT(A3988,"mmm-yyyy"))</f>
        <v/>
      </c>
    </row>
    <row r="3989">
      <c r="D3989">
        <f>IFERROR(XLOOKUP(C3989,'Vendor Master'!$A$6:$A$15,'Vendor Master'!$B$6:$B$15,""),"")</f>
        <v/>
      </c>
      <c r="J3989">
        <f>IF(A3989="","",TEXT(A3989,"mmm-yyyy"))</f>
        <v/>
      </c>
    </row>
    <row r="3990">
      <c r="D3990">
        <f>IFERROR(XLOOKUP(C3990,'Vendor Master'!$A$6:$A$15,'Vendor Master'!$B$6:$B$15,""),"")</f>
        <v/>
      </c>
      <c r="J3990">
        <f>IF(A3990="","",TEXT(A3990,"mmm-yyyy"))</f>
        <v/>
      </c>
    </row>
    <row r="3991">
      <c r="D3991">
        <f>IFERROR(XLOOKUP(C3991,'Vendor Master'!$A$6:$A$15,'Vendor Master'!$B$6:$B$15,""),"")</f>
        <v/>
      </c>
      <c r="J3991">
        <f>IF(A3991="","",TEXT(A3991,"mmm-yyyy"))</f>
        <v/>
      </c>
    </row>
    <row r="3992">
      <c r="D3992">
        <f>IFERROR(XLOOKUP(C3992,'Vendor Master'!$A$6:$A$15,'Vendor Master'!$B$6:$B$15,""),"")</f>
        <v/>
      </c>
      <c r="J3992">
        <f>IF(A3992="","",TEXT(A3992,"mmm-yyyy"))</f>
        <v/>
      </c>
    </row>
    <row r="3993">
      <c r="D3993">
        <f>IFERROR(XLOOKUP(C3993,'Vendor Master'!$A$6:$A$15,'Vendor Master'!$B$6:$B$15,""),"")</f>
        <v/>
      </c>
      <c r="J3993">
        <f>IF(A3993="","",TEXT(A3993,"mmm-yyyy"))</f>
        <v/>
      </c>
    </row>
    <row r="3994">
      <c r="D3994">
        <f>IFERROR(XLOOKUP(C3994,'Vendor Master'!$A$6:$A$15,'Vendor Master'!$B$6:$B$15,""),"")</f>
        <v/>
      </c>
      <c r="J3994">
        <f>IF(A3994="","",TEXT(A3994,"mmm-yyyy"))</f>
        <v/>
      </c>
    </row>
    <row r="3995">
      <c r="D3995">
        <f>IFERROR(XLOOKUP(C3995,'Vendor Master'!$A$6:$A$15,'Vendor Master'!$B$6:$B$15,""),"")</f>
        <v/>
      </c>
      <c r="J3995">
        <f>IF(A3995="","",TEXT(A3995,"mmm-yyyy"))</f>
        <v/>
      </c>
    </row>
    <row r="3996">
      <c r="D3996">
        <f>IFERROR(XLOOKUP(C3996,'Vendor Master'!$A$6:$A$15,'Vendor Master'!$B$6:$B$15,""),"")</f>
        <v/>
      </c>
      <c r="J3996">
        <f>IF(A3996="","",TEXT(A3996,"mmm-yyyy"))</f>
        <v/>
      </c>
    </row>
    <row r="3997">
      <c r="D3997">
        <f>IFERROR(XLOOKUP(C3997,'Vendor Master'!$A$6:$A$15,'Vendor Master'!$B$6:$B$15,""),"")</f>
        <v/>
      </c>
      <c r="J3997">
        <f>IF(A3997="","",TEXT(A3997,"mmm-yyyy"))</f>
        <v/>
      </c>
    </row>
    <row r="3998">
      <c r="D3998">
        <f>IFERROR(XLOOKUP(C3998,'Vendor Master'!$A$6:$A$15,'Vendor Master'!$B$6:$B$15,""),"")</f>
        <v/>
      </c>
      <c r="J3998">
        <f>IF(A3998="","",TEXT(A3998,"mmm-yyyy"))</f>
        <v/>
      </c>
    </row>
    <row r="3999">
      <c r="D3999">
        <f>IFERROR(XLOOKUP(C3999,'Vendor Master'!$A$6:$A$15,'Vendor Master'!$B$6:$B$15,""),"")</f>
        <v/>
      </c>
      <c r="J3999">
        <f>IF(A3999="","",TEXT(A3999,"mmm-yyyy"))</f>
        <v/>
      </c>
    </row>
    <row r="4000">
      <c r="D4000">
        <f>IFERROR(XLOOKUP(C4000,'Vendor Master'!$A$6:$A$15,'Vendor Master'!$B$6:$B$15,""),"")</f>
        <v/>
      </c>
      <c r="J4000">
        <f>IF(A4000="","",TEXT(A4000,"mmm-yyyy"))</f>
        <v/>
      </c>
    </row>
    <row r="4001">
      <c r="D4001">
        <f>IFERROR(XLOOKUP(C4001,'Vendor Master'!$A$6:$A$15,'Vendor Master'!$B$6:$B$15,""),"")</f>
        <v/>
      </c>
      <c r="J4001">
        <f>IF(A4001="","",TEXT(A4001,"mmm-yyyy"))</f>
        <v/>
      </c>
    </row>
    <row r="4002">
      <c r="D4002">
        <f>IFERROR(XLOOKUP(C4002,'Vendor Master'!$A$6:$A$15,'Vendor Master'!$B$6:$B$15,""),"")</f>
        <v/>
      </c>
      <c r="J4002">
        <f>IF(A4002="","",TEXT(A4002,"mmm-yyyy"))</f>
        <v/>
      </c>
    </row>
    <row r="4003">
      <c r="D4003">
        <f>IFERROR(XLOOKUP(C4003,'Vendor Master'!$A$6:$A$15,'Vendor Master'!$B$6:$B$15,""),"")</f>
        <v/>
      </c>
      <c r="J4003">
        <f>IF(A4003="","",TEXT(A4003,"mmm-yyyy"))</f>
        <v/>
      </c>
    </row>
    <row r="4004">
      <c r="D4004">
        <f>IFERROR(XLOOKUP(C4004,'Vendor Master'!$A$6:$A$15,'Vendor Master'!$B$6:$B$15,""),"")</f>
        <v/>
      </c>
      <c r="J4004">
        <f>IF(A4004="","",TEXT(A4004,"mmm-yyyy"))</f>
        <v/>
      </c>
    </row>
    <row r="4005">
      <c r="D4005">
        <f>IFERROR(XLOOKUP(C4005,'Vendor Master'!$A$6:$A$15,'Vendor Master'!$B$6:$B$15,""),"")</f>
        <v/>
      </c>
      <c r="J4005">
        <f>IF(A4005="","",TEXT(A4005,"mmm-yyyy"))</f>
        <v/>
      </c>
    </row>
    <row r="4006">
      <c r="D4006">
        <f>IFERROR(XLOOKUP(C4006,'Vendor Master'!$A$6:$A$15,'Vendor Master'!$B$6:$B$15,""),"")</f>
        <v/>
      </c>
      <c r="J4006">
        <f>IF(A4006="","",TEXT(A4006,"mmm-yyyy"))</f>
        <v/>
      </c>
    </row>
    <row r="4007">
      <c r="D4007">
        <f>IFERROR(XLOOKUP(C4007,'Vendor Master'!$A$6:$A$15,'Vendor Master'!$B$6:$B$15,""),"")</f>
        <v/>
      </c>
      <c r="J4007">
        <f>IF(A4007="","",TEXT(A4007,"mmm-yyyy"))</f>
        <v/>
      </c>
    </row>
    <row r="4008">
      <c r="D4008">
        <f>IFERROR(XLOOKUP(C4008,'Vendor Master'!$A$6:$A$15,'Vendor Master'!$B$6:$B$15,""),"")</f>
        <v/>
      </c>
      <c r="J4008">
        <f>IF(A4008="","",TEXT(A4008,"mmm-yyyy"))</f>
        <v/>
      </c>
    </row>
    <row r="4009">
      <c r="D4009">
        <f>IFERROR(XLOOKUP(C4009,'Vendor Master'!$A$6:$A$15,'Vendor Master'!$B$6:$B$15,""),"")</f>
        <v/>
      </c>
      <c r="J4009">
        <f>IF(A4009="","",TEXT(A4009,"mmm-yyyy"))</f>
        <v/>
      </c>
    </row>
    <row r="4010">
      <c r="D4010">
        <f>IFERROR(XLOOKUP(C4010,'Vendor Master'!$A$6:$A$15,'Vendor Master'!$B$6:$B$15,""),"")</f>
        <v/>
      </c>
      <c r="J4010">
        <f>IF(A4010="","",TEXT(A4010,"mmm-yyyy"))</f>
        <v/>
      </c>
    </row>
    <row r="4011">
      <c r="D4011">
        <f>IFERROR(XLOOKUP(C4011,'Vendor Master'!$A$6:$A$15,'Vendor Master'!$B$6:$B$15,""),"")</f>
        <v/>
      </c>
      <c r="J4011">
        <f>IF(A4011="","",TEXT(A4011,"mmm-yyyy"))</f>
        <v/>
      </c>
    </row>
    <row r="4012">
      <c r="D4012">
        <f>IFERROR(XLOOKUP(C4012,'Vendor Master'!$A$6:$A$15,'Vendor Master'!$B$6:$B$15,""),"")</f>
        <v/>
      </c>
      <c r="J4012">
        <f>IF(A4012="","",TEXT(A4012,"mmm-yyyy"))</f>
        <v/>
      </c>
    </row>
    <row r="4013">
      <c r="D4013">
        <f>IFERROR(XLOOKUP(C4013,'Vendor Master'!$A$6:$A$15,'Vendor Master'!$B$6:$B$15,""),"")</f>
        <v/>
      </c>
      <c r="J4013">
        <f>IF(A4013="","",TEXT(A4013,"mmm-yyyy"))</f>
        <v/>
      </c>
    </row>
    <row r="4014">
      <c r="D4014">
        <f>IFERROR(XLOOKUP(C4014,'Vendor Master'!$A$6:$A$15,'Vendor Master'!$B$6:$B$15,""),"")</f>
        <v/>
      </c>
      <c r="J4014">
        <f>IF(A4014="","",TEXT(A4014,"mmm-yyyy"))</f>
        <v/>
      </c>
    </row>
    <row r="4015">
      <c r="D4015">
        <f>IFERROR(XLOOKUP(C4015,'Vendor Master'!$A$6:$A$15,'Vendor Master'!$B$6:$B$15,""),"")</f>
        <v/>
      </c>
      <c r="J4015">
        <f>IF(A4015="","",TEXT(A4015,"mmm-yyyy"))</f>
        <v/>
      </c>
    </row>
    <row r="4016">
      <c r="D4016">
        <f>IFERROR(XLOOKUP(C4016,'Vendor Master'!$A$6:$A$15,'Vendor Master'!$B$6:$B$15,""),"")</f>
        <v/>
      </c>
      <c r="J4016">
        <f>IF(A4016="","",TEXT(A4016,"mmm-yyyy"))</f>
        <v/>
      </c>
    </row>
    <row r="4017">
      <c r="D4017">
        <f>IFERROR(XLOOKUP(C4017,'Vendor Master'!$A$6:$A$15,'Vendor Master'!$B$6:$B$15,""),"")</f>
        <v/>
      </c>
      <c r="J4017">
        <f>IF(A4017="","",TEXT(A4017,"mmm-yyyy"))</f>
        <v/>
      </c>
    </row>
    <row r="4018">
      <c r="D4018">
        <f>IFERROR(XLOOKUP(C4018,'Vendor Master'!$A$6:$A$15,'Vendor Master'!$B$6:$B$15,""),"")</f>
        <v/>
      </c>
      <c r="J4018">
        <f>IF(A4018="","",TEXT(A4018,"mmm-yyyy"))</f>
        <v/>
      </c>
    </row>
    <row r="4019">
      <c r="D4019">
        <f>IFERROR(XLOOKUP(C4019,'Vendor Master'!$A$6:$A$15,'Vendor Master'!$B$6:$B$15,""),"")</f>
        <v/>
      </c>
      <c r="J4019">
        <f>IF(A4019="","",TEXT(A4019,"mmm-yyyy"))</f>
        <v/>
      </c>
    </row>
    <row r="4020">
      <c r="D4020">
        <f>IFERROR(XLOOKUP(C4020,'Vendor Master'!$A$6:$A$15,'Vendor Master'!$B$6:$B$15,""),"")</f>
        <v/>
      </c>
      <c r="J4020">
        <f>IF(A4020="","",TEXT(A4020,"mmm-yyyy"))</f>
        <v/>
      </c>
    </row>
    <row r="4021">
      <c r="D4021">
        <f>IFERROR(XLOOKUP(C4021,'Vendor Master'!$A$6:$A$15,'Vendor Master'!$B$6:$B$15,""),"")</f>
        <v/>
      </c>
      <c r="J4021">
        <f>IF(A4021="","",TEXT(A4021,"mmm-yyyy"))</f>
        <v/>
      </c>
    </row>
    <row r="4022">
      <c r="D4022">
        <f>IFERROR(XLOOKUP(C4022,'Vendor Master'!$A$6:$A$15,'Vendor Master'!$B$6:$B$15,""),"")</f>
        <v/>
      </c>
      <c r="J4022">
        <f>IF(A4022="","",TEXT(A4022,"mmm-yyyy"))</f>
        <v/>
      </c>
    </row>
    <row r="4023">
      <c r="D4023">
        <f>IFERROR(XLOOKUP(C4023,'Vendor Master'!$A$6:$A$15,'Vendor Master'!$B$6:$B$15,""),"")</f>
        <v/>
      </c>
      <c r="J4023">
        <f>IF(A4023="","",TEXT(A4023,"mmm-yyyy"))</f>
        <v/>
      </c>
    </row>
    <row r="4024">
      <c r="D4024">
        <f>IFERROR(XLOOKUP(C4024,'Vendor Master'!$A$6:$A$15,'Vendor Master'!$B$6:$B$15,""),"")</f>
        <v/>
      </c>
      <c r="J4024">
        <f>IF(A4024="","",TEXT(A4024,"mmm-yyyy"))</f>
        <v/>
      </c>
    </row>
    <row r="4025">
      <c r="D4025">
        <f>IFERROR(XLOOKUP(C4025,'Vendor Master'!$A$6:$A$15,'Vendor Master'!$B$6:$B$15,""),"")</f>
        <v/>
      </c>
      <c r="J4025">
        <f>IF(A4025="","",TEXT(A4025,"mmm-yyyy"))</f>
        <v/>
      </c>
    </row>
    <row r="4026">
      <c r="D4026">
        <f>IFERROR(XLOOKUP(C4026,'Vendor Master'!$A$6:$A$15,'Vendor Master'!$B$6:$B$15,""),"")</f>
        <v/>
      </c>
      <c r="J4026">
        <f>IF(A4026="","",TEXT(A4026,"mmm-yyyy"))</f>
        <v/>
      </c>
    </row>
    <row r="4027">
      <c r="D4027">
        <f>IFERROR(XLOOKUP(C4027,'Vendor Master'!$A$6:$A$15,'Vendor Master'!$B$6:$B$15,""),"")</f>
        <v/>
      </c>
      <c r="J4027">
        <f>IF(A4027="","",TEXT(A4027,"mmm-yyyy"))</f>
        <v/>
      </c>
    </row>
    <row r="4028">
      <c r="D4028">
        <f>IFERROR(XLOOKUP(C4028,'Vendor Master'!$A$6:$A$15,'Vendor Master'!$B$6:$B$15,""),"")</f>
        <v/>
      </c>
      <c r="J4028">
        <f>IF(A4028="","",TEXT(A4028,"mmm-yyyy"))</f>
        <v/>
      </c>
    </row>
    <row r="4029">
      <c r="D4029">
        <f>IFERROR(XLOOKUP(C4029,'Vendor Master'!$A$6:$A$15,'Vendor Master'!$B$6:$B$15,""),"")</f>
        <v/>
      </c>
      <c r="J4029">
        <f>IF(A4029="","",TEXT(A4029,"mmm-yyyy"))</f>
        <v/>
      </c>
    </row>
    <row r="4030">
      <c r="D4030">
        <f>IFERROR(XLOOKUP(C4030,'Vendor Master'!$A$6:$A$15,'Vendor Master'!$B$6:$B$15,""),"")</f>
        <v/>
      </c>
      <c r="J4030">
        <f>IF(A4030="","",TEXT(A4030,"mmm-yyyy"))</f>
        <v/>
      </c>
    </row>
    <row r="4031">
      <c r="D4031">
        <f>IFERROR(XLOOKUP(C4031,'Vendor Master'!$A$6:$A$15,'Vendor Master'!$B$6:$B$15,""),"")</f>
        <v/>
      </c>
      <c r="J4031">
        <f>IF(A4031="","",TEXT(A4031,"mmm-yyyy"))</f>
        <v/>
      </c>
    </row>
    <row r="4032">
      <c r="D4032">
        <f>IFERROR(XLOOKUP(C4032,'Vendor Master'!$A$6:$A$15,'Vendor Master'!$B$6:$B$15,""),"")</f>
        <v/>
      </c>
      <c r="J4032">
        <f>IF(A4032="","",TEXT(A4032,"mmm-yyyy"))</f>
        <v/>
      </c>
    </row>
    <row r="4033">
      <c r="D4033">
        <f>IFERROR(XLOOKUP(C4033,'Vendor Master'!$A$6:$A$15,'Vendor Master'!$B$6:$B$15,""),"")</f>
        <v/>
      </c>
      <c r="J4033">
        <f>IF(A4033="","",TEXT(A4033,"mmm-yyyy"))</f>
        <v/>
      </c>
    </row>
    <row r="4034">
      <c r="D4034">
        <f>IFERROR(XLOOKUP(C4034,'Vendor Master'!$A$6:$A$15,'Vendor Master'!$B$6:$B$15,""),"")</f>
        <v/>
      </c>
      <c r="J4034">
        <f>IF(A4034="","",TEXT(A4034,"mmm-yyyy"))</f>
        <v/>
      </c>
    </row>
    <row r="4035">
      <c r="D4035">
        <f>IFERROR(XLOOKUP(C4035,'Vendor Master'!$A$6:$A$15,'Vendor Master'!$B$6:$B$15,""),"")</f>
        <v/>
      </c>
      <c r="J4035">
        <f>IF(A4035="","",TEXT(A4035,"mmm-yyyy"))</f>
        <v/>
      </c>
    </row>
    <row r="4036">
      <c r="D4036">
        <f>IFERROR(XLOOKUP(C4036,'Vendor Master'!$A$6:$A$15,'Vendor Master'!$B$6:$B$15,""),"")</f>
        <v/>
      </c>
      <c r="J4036">
        <f>IF(A4036="","",TEXT(A4036,"mmm-yyyy"))</f>
        <v/>
      </c>
    </row>
    <row r="4037">
      <c r="D4037">
        <f>IFERROR(XLOOKUP(C4037,'Vendor Master'!$A$6:$A$15,'Vendor Master'!$B$6:$B$15,""),"")</f>
        <v/>
      </c>
      <c r="J4037">
        <f>IF(A4037="","",TEXT(A4037,"mmm-yyyy"))</f>
        <v/>
      </c>
    </row>
    <row r="4038">
      <c r="D4038">
        <f>IFERROR(XLOOKUP(C4038,'Vendor Master'!$A$6:$A$15,'Vendor Master'!$B$6:$B$15,""),"")</f>
        <v/>
      </c>
      <c r="J4038">
        <f>IF(A4038="","",TEXT(A4038,"mmm-yyyy"))</f>
        <v/>
      </c>
    </row>
    <row r="4039">
      <c r="D4039">
        <f>IFERROR(XLOOKUP(C4039,'Vendor Master'!$A$6:$A$15,'Vendor Master'!$B$6:$B$15,""),"")</f>
        <v/>
      </c>
      <c r="J4039">
        <f>IF(A4039="","",TEXT(A4039,"mmm-yyyy"))</f>
        <v/>
      </c>
    </row>
    <row r="4040">
      <c r="D4040">
        <f>IFERROR(XLOOKUP(C4040,'Vendor Master'!$A$6:$A$15,'Vendor Master'!$B$6:$B$15,""),"")</f>
        <v/>
      </c>
      <c r="J4040">
        <f>IF(A4040="","",TEXT(A4040,"mmm-yyyy"))</f>
        <v/>
      </c>
    </row>
    <row r="4041">
      <c r="D4041">
        <f>IFERROR(XLOOKUP(C4041,'Vendor Master'!$A$6:$A$15,'Vendor Master'!$B$6:$B$15,""),"")</f>
        <v/>
      </c>
      <c r="J4041">
        <f>IF(A4041="","",TEXT(A4041,"mmm-yyyy"))</f>
        <v/>
      </c>
    </row>
    <row r="4042">
      <c r="D4042">
        <f>IFERROR(XLOOKUP(C4042,'Vendor Master'!$A$6:$A$15,'Vendor Master'!$B$6:$B$15,""),"")</f>
        <v/>
      </c>
      <c r="J4042">
        <f>IF(A4042="","",TEXT(A4042,"mmm-yyyy"))</f>
        <v/>
      </c>
    </row>
    <row r="4043">
      <c r="D4043">
        <f>IFERROR(XLOOKUP(C4043,'Vendor Master'!$A$6:$A$15,'Vendor Master'!$B$6:$B$15,""),"")</f>
        <v/>
      </c>
      <c r="J4043">
        <f>IF(A4043="","",TEXT(A4043,"mmm-yyyy"))</f>
        <v/>
      </c>
    </row>
    <row r="4044">
      <c r="D4044">
        <f>IFERROR(XLOOKUP(C4044,'Vendor Master'!$A$6:$A$15,'Vendor Master'!$B$6:$B$15,""),"")</f>
        <v/>
      </c>
      <c r="J4044">
        <f>IF(A4044="","",TEXT(A4044,"mmm-yyyy"))</f>
        <v/>
      </c>
    </row>
    <row r="4045">
      <c r="D4045">
        <f>IFERROR(XLOOKUP(C4045,'Vendor Master'!$A$6:$A$15,'Vendor Master'!$B$6:$B$15,""),"")</f>
        <v/>
      </c>
      <c r="J4045">
        <f>IF(A4045="","",TEXT(A4045,"mmm-yyyy"))</f>
        <v/>
      </c>
    </row>
    <row r="4046">
      <c r="D4046">
        <f>IFERROR(XLOOKUP(C4046,'Vendor Master'!$A$6:$A$15,'Vendor Master'!$B$6:$B$15,""),"")</f>
        <v/>
      </c>
      <c r="J4046">
        <f>IF(A4046="","",TEXT(A4046,"mmm-yyyy"))</f>
        <v/>
      </c>
    </row>
    <row r="4047">
      <c r="D4047">
        <f>IFERROR(XLOOKUP(C4047,'Vendor Master'!$A$6:$A$15,'Vendor Master'!$B$6:$B$15,""),"")</f>
        <v/>
      </c>
      <c r="J4047">
        <f>IF(A4047="","",TEXT(A4047,"mmm-yyyy"))</f>
        <v/>
      </c>
    </row>
    <row r="4048">
      <c r="D4048">
        <f>IFERROR(XLOOKUP(C4048,'Vendor Master'!$A$6:$A$15,'Vendor Master'!$B$6:$B$15,""),"")</f>
        <v/>
      </c>
      <c r="J4048">
        <f>IF(A4048="","",TEXT(A4048,"mmm-yyyy"))</f>
        <v/>
      </c>
    </row>
    <row r="4049">
      <c r="D4049">
        <f>IFERROR(XLOOKUP(C4049,'Vendor Master'!$A$6:$A$15,'Vendor Master'!$B$6:$B$15,""),"")</f>
        <v/>
      </c>
      <c r="J4049">
        <f>IF(A4049="","",TEXT(A4049,"mmm-yyyy"))</f>
        <v/>
      </c>
    </row>
    <row r="4050">
      <c r="D4050">
        <f>IFERROR(XLOOKUP(C4050,'Vendor Master'!$A$6:$A$15,'Vendor Master'!$B$6:$B$15,""),"")</f>
        <v/>
      </c>
      <c r="J4050">
        <f>IF(A4050="","",TEXT(A4050,"mmm-yyyy"))</f>
        <v/>
      </c>
    </row>
    <row r="4051">
      <c r="D4051">
        <f>IFERROR(XLOOKUP(C4051,'Vendor Master'!$A$6:$A$15,'Vendor Master'!$B$6:$B$15,""),"")</f>
        <v/>
      </c>
      <c r="J4051">
        <f>IF(A4051="","",TEXT(A4051,"mmm-yyyy"))</f>
        <v/>
      </c>
    </row>
    <row r="4052">
      <c r="D4052">
        <f>IFERROR(XLOOKUP(C4052,'Vendor Master'!$A$6:$A$15,'Vendor Master'!$B$6:$B$15,""),"")</f>
        <v/>
      </c>
      <c r="J4052">
        <f>IF(A4052="","",TEXT(A4052,"mmm-yyyy"))</f>
        <v/>
      </c>
    </row>
    <row r="4053">
      <c r="D4053">
        <f>IFERROR(XLOOKUP(C4053,'Vendor Master'!$A$6:$A$15,'Vendor Master'!$B$6:$B$15,""),"")</f>
        <v/>
      </c>
      <c r="J4053">
        <f>IF(A4053="","",TEXT(A4053,"mmm-yyyy"))</f>
        <v/>
      </c>
    </row>
    <row r="4054">
      <c r="D4054">
        <f>IFERROR(XLOOKUP(C4054,'Vendor Master'!$A$6:$A$15,'Vendor Master'!$B$6:$B$15,""),"")</f>
        <v/>
      </c>
      <c r="J4054">
        <f>IF(A4054="","",TEXT(A4054,"mmm-yyyy"))</f>
        <v/>
      </c>
    </row>
    <row r="4055">
      <c r="D4055">
        <f>IFERROR(XLOOKUP(C4055,'Vendor Master'!$A$6:$A$15,'Vendor Master'!$B$6:$B$15,""),"")</f>
        <v/>
      </c>
      <c r="J4055">
        <f>IF(A4055="","",TEXT(A4055,"mmm-yyyy"))</f>
        <v/>
      </c>
    </row>
    <row r="4056">
      <c r="D4056">
        <f>IFERROR(XLOOKUP(C4056,'Vendor Master'!$A$6:$A$15,'Vendor Master'!$B$6:$B$15,""),"")</f>
        <v/>
      </c>
      <c r="J4056">
        <f>IF(A4056="","",TEXT(A4056,"mmm-yyyy"))</f>
        <v/>
      </c>
    </row>
    <row r="4057">
      <c r="D4057">
        <f>IFERROR(XLOOKUP(C4057,'Vendor Master'!$A$6:$A$15,'Vendor Master'!$B$6:$B$15,""),"")</f>
        <v/>
      </c>
      <c r="J4057">
        <f>IF(A4057="","",TEXT(A4057,"mmm-yyyy"))</f>
        <v/>
      </c>
    </row>
    <row r="4058">
      <c r="D4058">
        <f>IFERROR(XLOOKUP(C4058,'Vendor Master'!$A$6:$A$15,'Vendor Master'!$B$6:$B$15,""),"")</f>
        <v/>
      </c>
      <c r="J4058">
        <f>IF(A4058="","",TEXT(A4058,"mmm-yyyy"))</f>
        <v/>
      </c>
    </row>
    <row r="4059">
      <c r="D4059">
        <f>IFERROR(XLOOKUP(C4059,'Vendor Master'!$A$6:$A$15,'Vendor Master'!$B$6:$B$15,""),"")</f>
        <v/>
      </c>
      <c r="J4059">
        <f>IF(A4059="","",TEXT(A4059,"mmm-yyyy"))</f>
        <v/>
      </c>
    </row>
    <row r="4060">
      <c r="D4060">
        <f>IFERROR(XLOOKUP(C4060,'Vendor Master'!$A$6:$A$15,'Vendor Master'!$B$6:$B$15,""),"")</f>
        <v/>
      </c>
      <c r="J4060">
        <f>IF(A4060="","",TEXT(A4060,"mmm-yyyy"))</f>
        <v/>
      </c>
    </row>
    <row r="4061">
      <c r="D4061">
        <f>IFERROR(XLOOKUP(C4061,'Vendor Master'!$A$6:$A$15,'Vendor Master'!$B$6:$B$15,""),"")</f>
        <v/>
      </c>
      <c r="J4061">
        <f>IF(A4061="","",TEXT(A4061,"mmm-yyyy"))</f>
        <v/>
      </c>
    </row>
    <row r="4062">
      <c r="D4062">
        <f>IFERROR(XLOOKUP(C4062,'Vendor Master'!$A$6:$A$15,'Vendor Master'!$B$6:$B$15,""),"")</f>
        <v/>
      </c>
      <c r="J4062">
        <f>IF(A4062="","",TEXT(A4062,"mmm-yyyy"))</f>
        <v/>
      </c>
    </row>
    <row r="4063">
      <c r="D4063">
        <f>IFERROR(XLOOKUP(C4063,'Vendor Master'!$A$6:$A$15,'Vendor Master'!$B$6:$B$15,""),"")</f>
        <v/>
      </c>
      <c r="J4063">
        <f>IF(A4063="","",TEXT(A4063,"mmm-yyyy"))</f>
        <v/>
      </c>
    </row>
    <row r="4064">
      <c r="D4064">
        <f>IFERROR(XLOOKUP(C4064,'Vendor Master'!$A$6:$A$15,'Vendor Master'!$B$6:$B$15,""),"")</f>
        <v/>
      </c>
      <c r="J4064">
        <f>IF(A4064="","",TEXT(A4064,"mmm-yyyy"))</f>
        <v/>
      </c>
    </row>
    <row r="4065">
      <c r="D4065">
        <f>IFERROR(XLOOKUP(C4065,'Vendor Master'!$A$6:$A$15,'Vendor Master'!$B$6:$B$15,""),"")</f>
        <v/>
      </c>
      <c r="J4065">
        <f>IF(A4065="","",TEXT(A4065,"mmm-yyyy"))</f>
        <v/>
      </c>
    </row>
    <row r="4066">
      <c r="D4066">
        <f>IFERROR(XLOOKUP(C4066,'Vendor Master'!$A$6:$A$15,'Vendor Master'!$B$6:$B$15,""),"")</f>
        <v/>
      </c>
      <c r="J4066">
        <f>IF(A4066="","",TEXT(A4066,"mmm-yyyy"))</f>
        <v/>
      </c>
    </row>
    <row r="4067">
      <c r="D4067">
        <f>IFERROR(XLOOKUP(C4067,'Vendor Master'!$A$6:$A$15,'Vendor Master'!$B$6:$B$15,""),"")</f>
        <v/>
      </c>
      <c r="J4067">
        <f>IF(A4067="","",TEXT(A4067,"mmm-yyyy"))</f>
        <v/>
      </c>
    </row>
    <row r="4068">
      <c r="D4068">
        <f>IFERROR(XLOOKUP(C4068,'Vendor Master'!$A$6:$A$15,'Vendor Master'!$B$6:$B$15,""),"")</f>
        <v/>
      </c>
      <c r="J4068">
        <f>IF(A4068="","",TEXT(A4068,"mmm-yyyy"))</f>
        <v/>
      </c>
    </row>
    <row r="4069">
      <c r="D4069">
        <f>IFERROR(XLOOKUP(C4069,'Vendor Master'!$A$6:$A$15,'Vendor Master'!$B$6:$B$15,""),"")</f>
        <v/>
      </c>
      <c r="J4069">
        <f>IF(A4069="","",TEXT(A4069,"mmm-yyyy"))</f>
        <v/>
      </c>
    </row>
    <row r="4070">
      <c r="D4070">
        <f>IFERROR(XLOOKUP(C4070,'Vendor Master'!$A$6:$A$15,'Vendor Master'!$B$6:$B$15,""),"")</f>
        <v/>
      </c>
      <c r="J4070">
        <f>IF(A4070="","",TEXT(A4070,"mmm-yyyy"))</f>
        <v/>
      </c>
    </row>
    <row r="4071">
      <c r="D4071">
        <f>IFERROR(XLOOKUP(C4071,'Vendor Master'!$A$6:$A$15,'Vendor Master'!$B$6:$B$15,""),"")</f>
        <v/>
      </c>
      <c r="J4071">
        <f>IF(A4071="","",TEXT(A4071,"mmm-yyyy"))</f>
        <v/>
      </c>
    </row>
    <row r="4072">
      <c r="D4072">
        <f>IFERROR(XLOOKUP(C4072,'Vendor Master'!$A$6:$A$15,'Vendor Master'!$B$6:$B$15,""),"")</f>
        <v/>
      </c>
      <c r="J4072">
        <f>IF(A4072="","",TEXT(A4072,"mmm-yyyy"))</f>
        <v/>
      </c>
    </row>
    <row r="4073">
      <c r="D4073">
        <f>IFERROR(XLOOKUP(C4073,'Vendor Master'!$A$6:$A$15,'Vendor Master'!$B$6:$B$15,""),"")</f>
        <v/>
      </c>
      <c r="J4073">
        <f>IF(A4073="","",TEXT(A4073,"mmm-yyyy"))</f>
        <v/>
      </c>
    </row>
    <row r="4074">
      <c r="D4074">
        <f>IFERROR(XLOOKUP(C4074,'Vendor Master'!$A$6:$A$15,'Vendor Master'!$B$6:$B$15,""),"")</f>
        <v/>
      </c>
      <c r="J4074">
        <f>IF(A4074="","",TEXT(A4074,"mmm-yyyy"))</f>
        <v/>
      </c>
    </row>
    <row r="4075">
      <c r="D4075">
        <f>IFERROR(XLOOKUP(C4075,'Vendor Master'!$A$6:$A$15,'Vendor Master'!$B$6:$B$15,""),"")</f>
        <v/>
      </c>
      <c r="J4075">
        <f>IF(A4075="","",TEXT(A4075,"mmm-yyyy"))</f>
        <v/>
      </c>
    </row>
    <row r="4076">
      <c r="D4076">
        <f>IFERROR(XLOOKUP(C4076,'Vendor Master'!$A$6:$A$15,'Vendor Master'!$B$6:$B$15,""),"")</f>
        <v/>
      </c>
      <c r="J4076">
        <f>IF(A4076="","",TEXT(A4076,"mmm-yyyy"))</f>
        <v/>
      </c>
    </row>
    <row r="4077">
      <c r="D4077">
        <f>IFERROR(XLOOKUP(C4077,'Vendor Master'!$A$6:$A$15,'Vendor Master'!$B$6:$B$15,""),"")</f>
        <v/>
      </c>
      <c r="J4077">
        <f>IF(A4077="","",TEXT(A4077,"mmm-yyyy"))</f>
        <v/>
      </c>
    </row>
    <row r="4078">
      <c r="D4078">
        <f>IFERROR(XLOOKUP(C4078,'Vendor Master'!$A$6:$A$15,'Vendor Master'!$B$6:$B$15,""),"")</f>
        <v/>
      </c>
      <c r="J4078">
        <f>IF(A4078="","",TEXT(A4078,"mmm-yyyy"))</f>
        <v/>
      </c>
    </row>
    <row r="4079">
      <c r="D4079">
        <f>IFERROR(XLOOKUP(C4079,'Vendor Master'!$A$6:$A$15,'Vendor Master'!$B$6:$B$15,""),"")</f>
        <v/>
      </c>
      <c r="J4079">
        <f>IF(A4079="","",TEXT(A4079,"mmm-yyyy"))</f>
        <v/>
      </c>
    </row>
    <row r="4080">
      <c r="D4080">
        <f>IFERROR(XLOOKUP(C4080,'Vendor Master'!$A$6:$A$15,'Vendor Master'!$B$6:$B$15,""),"")</f>
        <v/>
      </c>
      <c r="J4080">
        <f>IF(A4080="","",TEXT(A4080,"mmm-yyyy"))</f>
        <v/>
      </c>
    </row>
    <row r="4081">
      <c r="D4081">
        <f>IFERROR(XLOOKUP(C4081,'Vendor Master'!$A$6:$A$15,'Vendor Master'!$B$6:$B$15,""),"")</f>
        <v/>
      </c>
      <c r="J4081">
        <f>IF(A4081="","",TEXT(A4081,"mmm-yyyy"))</f>
        <v/>
      </c>
    </row>
    <row r="4082">
      <c r="D4082">
        <f>IFERROR(XLOOKUP(C4082,'Vendor Master'!$A$6:$A$15,'Vendor Master'!$B$6:$B$15,""),"")</f>
        <v/>
      </c>
      <c r="J4082">
        <f>IF(A4082="","",TEXT(A4082,"mmm-yyyy"))</f>
        <v/>
      </c>
    </row>
    <row r="4083">
      <c r="D4083">
        <f>IFERROR(XLOOKUP(C4083,'Vendor Master'!$A$6:$A$15,'Vendor Master'!$B$6:$B$15,""),"")</f>
        <v/>
      </c>
      <c r="J4083">
        <f>IF(A4083="","",TEXT(A4083,"mmm-yyyy"))</f>
        <v/>
      </c>
    </row>
    <row r="4084">
      <c r="D4084">
        <f>IFERROR(XLOOKUP(C4084,'Vendor Master'!$A$6:$A$15,'Vendor Master'!$B$6:$B$15,""),"")</f>
        <v/>
      </c>
      <c r="J4084">
        <f>IF(A4084="","",TEXT(A4084,"mmm-yyyy"))</f>
        <v/>
      </c>
    </row>
    <row r="4085">
      <c r="D4085">
        <f>IFERROR(XLOOKUP(C4085,'Vendor Master'!$A$6:$A$15,'Vendor Master'!$B$6:$B$15,""),"")</f>
        <v/>
      </c>
      <c r="J4085">
        <f>IF(A4085="","",TEXT(A4085,"mmm-yyyy"))</f>
        <v/>
      </c>
    </row>
    <row r="4086">
      <c r="D4086">
        <f>IFERROR(XLOOKUP(C4086,'Vendor Master'!$A$6:$A$15,'Vendor Master'!$B$6:$B$15,""),"")</f>
        <v/>
      </c>
      <c r="J4086">
        <f>IF(A4086="","",TEXT(A4086,"mmm-yyyy"))</f>
        <v/>
      </c>
    </row>
    <row r="4087">
      <c r="D4087">
        <f>IFERROR(XLOOKUP(C4087,'Vendor Master'!$A$6:$A$15,'Vendor Master'!$B$6:$B$15,""),"")</f>
        <v/>
      </c>
      <c r="J4087">
        <f>IF(A4087="","",TEXT(A4087,"mmm-yyyy"))</f>
        <v/>
      </c>
    </row>
    <row r="4088">
      <c r="D4088">
        <f>IFERROR(XLOOKUP(C4088,'Vendor Master'!$A$6:$A$15,'Vendor Master'!$B$6:$B$15,""),"")</f>
        <v/>
      </c>
      <c r="J4088">
        <f>IF(A4088="","",TEXT(A4088,"mmm-yyyy"))</f>
        <v/>
      </c>
    </row>
    <row r="4089">
      <c r="D4089">
        <f>IFERROR(XLOOKUP(C4089,'Vendor Master'!$A$6:$A$15,'Vendor Master'!$B$6:$B$15,""),"")</f>
        <v/>
      </c>
      <c r="J4089">
        <f>IF(A4089="","",TEXT(A4089,"mmm-yyyy"))</f>
        <v/>
      </c>
    </row>
    <row r="4090">
      <c r="D4090">
        <f>IFERROR(XLOOKUP(C4090,'Vendor Master'!$A$6:$A$15,'Vendor Master'!$B$6:$B$15,""),"")</f>
        <v/>
      </c>
      <c r="J4090">
        <f>IF(A4090="","",TEXT(A4090,"mmm-yyyy"))</f>
        <v/>
      </c>
    </row>
    <row r="4091">
      <c r="D4091">
        <f>IFERROR(XLOOKUP(C4091,'Vendor Master'!$A$6:$A$15,'Vendor Master'!$B$6:$B$15,""),"")</f>
        <v/>
      </c>
      <c r="J4091">
        <f>IF(A4091="","",TEXT(A4091,"mmm-yyyy"))</f>
        <v/>
      </c>
    </row>
    <row r="4092">
      <c r="D4092">
        <f>IFERROR(XLOOKUP(C4092,'Vendor Master'!$A$6:$A$15,'Vendor Master'!$B$6:$B$15,""),"")</f>
        <v/>
      </c>
      <c r="J4092">
        <f>IF(A4092="","",TEXT(A4092,"mmm-yyyy"))</f>
        <v/>
      </c>
    </row>
    <row r="4093">
      <c r="D4093">
        <f>IFERROR(XLOOKUP(C4093,'Vendor Master'!$A$6:$A$15,'Vendor Master'!$B$6:$B$15,""),"")</f>
        <v/>
      </c>
      <c r="J4093">
        <f>IF(A4093="","",TEXT(A4093,"mmm-yyyy"))</f>
        <v/>
      </c>
    </row>
    <row r="4094">
      <c r="D4094">
        <f>IFERROR(XLOOKUP(C4094,'Vendor Master'!$A$6:$A$15,'Vendor Master'!$B$6:$B$15,""),"")</f>
        <v/>
      </c>
      <c r="J4094">
        <f>IF(A4094="","",TEXT(A4094,"mmm-yyyy"))</f>
        <v/>
      </c>
    </row>
    <row r="4095">
      <c r="D4095">
        <f>IFERROR(XLOOKUP(C4095,'Vendor Master'!$A$6:$A$15,'Vendor Master'!$B$6:$B$15,""),"")</f>
        <v/>
      </c>
      <c r="J4095">
        <f>IF(A4095="","",TEXT(A4095,"mmm-yyyy"))</f>
        <v/>
      </c>
    </row>
    <row r="4096">
      <c r="D4096">
        <f>IFERROR(XLOOKUP(C4096,'Vendor Master'!$A$6:$A$15,'Vendor Master'!$B$6:$B$15,""),"")</f>
        <v/>
      </c>
      <c r="J4096">
        <f>IF(A4096="","",TEXT(A4096,"mmm-yyyy"))</f>
        <v/>
      </c>
    </row>
    <row r="4097">
      <c r="D4097">
        <f>IFERROR(XLOOKUP(C4097,'Vendor Master'!$A$6:$A$15,'Vendor Master'!$B$6:$B$15,""),"")</f>
        <v/>
      </c>
      <c r="J4097">
        <f>IF(A4097="","",TEXT(A4097,"mmm-yyyy"))</f>
        <v/>
      </c>
    </row>
    <row r="4098">
      <c r="D4098">
        <f>IFERROR(XLOOKUP(C4098,'Vendor Master'!$A$6:$A$15,'Vendor Master'!$B$6:$B$15,""),"")</f>
        <v/>
      </c>
      <c r="J4098">
        <f>IF(A4098="","",TEXT(A4098,"mmm-yyyy"))</f>
        <v/>
      </c>
    </row>
    <row r="4099">
      <c r="D4099">
        <f>IFERROR(XLOOKUP(C4099,'Vendor Master'!$A$6:$A$15,'Vendor Master'!$B$6:$B$15,""),"")</f>
        <v/>
      </c>
      <c r="J4099">
        <f>IF(A4099="","",TEXT(A4099,"mmm-yyyy"))</f>
        <v/>
      </c>
    </row>
    <row r="4100">
      <c r="D4100">
        <f>IFERROR(XLOOKUP(C4100,'Vendor Master'!$A$6:$A$15,'Vendor Master'!$B$6:$B$15,""),"")</f>
        <v/>
      </c>
      <c r="J4100">
        <f>IF(A4100="","",TEXT(A4100,"mmm-yyyy"))</f>
        <v/>
      </c>
    </row>
    <row r="4101">
      <c r="D4101">
        <f>IFERROR(XLOOKUP(C4101,'Vendor Master'!$A$6:$A$15,'Vendor Master'!$B$6:$B$15,""),"")</f>
        <v/>
      </c>
      <c r="J4101">
        <f>IF(A4101="","",TEXT(A4101,"mmm-yyyy"))</f>
        <v/>
      </c>
    </row>
    <row r="4102">
      <c r="D4102">
        <f>IFERROR(XLOOKUP(C4102,'Vendor Master'!$A$6:$A$15,'Vendor Master'!$B$6:$B$15,""),"")</f>
        <v/>
      </c>
      <c r="J4102">
        <f>IF(A4102="","",TEXT(A4102,"mmm-yyyy"))</f>
        <v/>
      </c>
    </row>
    <row r="4103">
      <c r="D4103">
        <f>IFERROR(XLOOKUP(C4103,'Vendor Master'!$A$6:$A$15,'Vendor Master'!$B$6:$B$15,""),"")</f>
        <v/>
      </c>
      <c r="J4103">
        <f>IF(A4103="","",TEXT(A4103,"mmm-yyyy"))</f>
        <v/>
      </c>
    </row>
    <row r="4104">
      <c r="D4104">
        <f>IFERROR(XLOOKUP(C4104,'Vendor Master'!$A$6:$A$15,'Vendor Master'!$B$6:$B$15,""),"")</f>
        <v/>
      </c>
      <c r="J4104">
        <f>IF(A4104="","",TEXT(A4104,"mmm-yyyy"))</f>
        <v/>
      </c>
    </row>
    <row r="4105">
      <c r="D4105">
        <f>IFERROR(XLOOKUP(C4105,'Vendor Master'!$A$6:$A$15,'Vendor Master'!$B$6:$B$15,""),"")</f>
        <v/>
      </c>
      <c r="J4105">
        <f>IF(A4105="","",TEXT(A4105,"mmm-yyyy"))</f>
        <v/>
      </c>
    </row>
    <row r="4106">
      <c r="D4106">
        <f>IFERROR(XLOOKUP(C4106,'Vendor Master'!$A$6:$A$15,'Vendor Master'!$B$6:$B$15,""),"")</f>
        <v/>
      </c>
      <c r="J4106">
        <f>IF(A4106="","",TEXT(A4106,"mmm-yyyy"))</f>
        <v/>
      </c>
    </row>
    <row r="4107">
      <c r="D4107">
        <f>IFERROR(XLOOKUP(C4107,'Vendor Master'!$A$6:$A$15,'Vendor Master'!$B$6:$B$15,""),"")</f>
        <v/>
      </c>
      <c r="J4107">
        <f>IF(A4107="","",TEXT(A4107,"mmm-yyyy"))</f>
        <v/>
      </c>
    </row>
    <row r="4108">
      <c r="D4108">
        <f>IFERROR(XLOOKUP(C4108,'Vendor Master'!$A$6:$A$15,'Vendor Master'!$B$6:$B$15,""),"")</f>
        <v/>
      </c>
      <c r="J4108">
        <f>IF(A4108="","",TEXT(A4108,"mmm-yyyy"))</f>
        <v/>
      </c>
    </row>
    <row r="4109">
      <c r="D4109">
        <f>IFERROR(XLOOKUP(C4109,'Vendor Master'!$A$6:$A$15,'Vendor Master'!$B$6:$B$15,""),"")</f>
        <v/>
      </c>
      <c r="J4109">
        <f>IF(A4109="","",TEXT(A4109,"mmm-yyyy"))</f>
        <v/>
      </c>
    </row>
    <row r="4110">
      <c r="D4110">
        <f>IFERROR(XLOOKUP(C4110,'Vendor Master'!$A$6:$A$15,'Vendor Master'!$B$6:$B$15,""),"")</f>
        <v/>
      </c>
      <c r="J4110">
        <f>IF(A4110="","",TEXT(A4110,"mmm-yyyy"))</f>
        <v/>
      </c>
    </row>
    <row r="4111">
      <c r="D4111">
        <f>IFERROR(XLOOKUP(C4111,'Vendor Master'!$A$6:$A$15,'Vendor Master'!$B$6:$B$15,""),"")</f>
        <v/>
      </c>
      <c r="J4111">
        <f>IF(A4111="","",TEXT(A4111,"mmm-yyyy"))</f>
        <v/>
      </c>
    </row>
    <row r="4112">
      <c r="D4112">
        <f>IFERROR(XLOOKUP(C4112,'Vendor Master'!$A$6:$A$15,'Vendor Master'!$B$6:$B$15,""),"")</f>
        <v/>
      </c>
      <c r="J4112">
        <f>IF(A4112="","",TEXT(A4112,"mmm-yyyy"))</f>
        <v/>
      </c>
    </row>
    <row r="4113">
      <c r="D4113">
        <f>IFERROR(XLOOKUP(C4113,'Vendor Master'!$A$6:$A$15,'Vendor Master'!$B$6:$B$15,""),"")</f>
        <v/>
      </c>
      <c r="J4113">
        <f>IF(A4113="","",TEXT(A4113,"mmm-yyyy"))</f>
        <v/>
      </c>
    </row>
    <row r="4114">
      <c r="D4114">
        <f>IFERROR(XLOOKUP(C4114,'Vendor Master'!$A$6:$A$15,'Vendor Master'!$B$6:$B$15,""),"")</f>
        <v/>
      </c>
      <c r="J4114">
        <f>IF(A4114="","",TEXT(A4114,"mmm-yyyy"))</f>
        <v/>
      </c>
    </row>
    <row r="4115">
      <c r="D4115">
        <f>IFERROR(XLOOKUP(C4115,'Vendor Master'!$A$6:$A$15,'Vendor Master'!$B$6:$B$15,""),"")</f>
        <v/>
      </c>
      <c r="J4115">
        <f>IF(A4115="","",TEXT(A4115,"mmm-yyyy"))</f>
        <v/>
      </c>
    </row>
    <row r="4116">
      <c r="D4116">
        <f>IFERROR(XLOOKUP(C4116,'Vendor Master'!$A$6:$A$15,'Vendor Master'!$B$6:$B$15,""),"")</f>
        <v/>
      </c>
      <c r="J4116">
        <f>IF(A4116="","",TEXT(A4116,"mmm-yyyy"))</f>
        <v/>
      </c>
    </row>
    <row r="4117">
      <c r="D4117">
        <f>IFERROR(XLOOKUP(C4117,'Vendor Master'!$A$6:$A$15,'Vendor Master'!$B$6:$B$15,""),"")</f>
        <v/>
      </c>
      <c r="J4117">
        <f>IF(A4117="","",TEXT(A4117,"mmm-yyyy"))</f>
        <v/>
      </c>
    </row>
    <row r="4118">
      <c r="D4118">
        <f>IFERROR(XLOOKUP(C4118,'Vendor Master'!$A$6:$A$15,'Vendor Master'!$B$6:$B$15,""),"")</f>
        <v/>
      </c>
      <c r="J4118">
        <f>IF(A4118="","",TEXT(A4118,"mmm-yyyy"))</f>
        <v/>
      </c>
    </row>
    <row r="4119">
      <c r="D4119">
        <f>IFERROR(XLOOKUP(C4119,'Vendor Master'!$A$6:$A$15,'Vendor Master'!$B$6:$B$15,""),"")</f>
        <v/>
      </c>
      <c r="J4119">
        <f>IF(A4119="","",TEXT(A4119,"mmm-yyyy"))</f>
        <v/>
      </c>
    </row>
    <row r="4120">
      <c r="D4120">
        <f>IFERROR(XLOOKUP(C4120,'Vendor Master'!$A$6:$A$15,'Vendor Master'!$B$6:$B$15,""),"")</f>
        <v/>
      </c>
      <c r="J4120">
        <f>IF(A4120="","",TEXT(A4120,"mmm-yyyy"))</f>
        <v/>
      </c>
    </row>
    <row r="4121">
      <c r="D4121">
        <f>IFERROR(XLOOKUP(C4121,'Vendor Master'!$A$6:$A$15,'Vendor Master'!$B$6:$B$15,""),"")</f>
        <v/>
      </c>
      <c r="J4121">
        <f>IF(A4121="","",TEXT(A4121,"mmm-yyyy"))</f>
        <v/>
      </c>
    </row>
    <row r="4122">
      <c r="D4122">
        <f>IFERROR(XLOOKUP(C4122,'Vendor Master'!$A$6:$A$15,'Vendor Master'!$B$6:$B$15,""),"")</f>
        <v/>
      </c>
      <c r="J4122">
        <f>IF(A4122="","",TEXT(A4122,"mmm-yyyy"))</f>
        <v/>
      </c>
    </row>
    <row r="4123">
      <c r="D4123">
        <f>IFERROR(XLOOKUP(C4123,'Vendor Master'!$A$6:$A$15,'Vendor Master'!$B$6:$B$15,""),"")</f>
        <v/>
      </c>
      <c r="J4123">
        <f>IF(A4123="","",TEXT(A4123,"mmm-yyyy"))</f>
        <v/>
      </c>
    </row>
    <row r="4124">
      <c r="D4124">
        <f>IFERROR(XLOOKUP(C4124,'Vendor Master'!$A$6:$A$15,'Vendor Master'!$B$6:$B$15,""),"")</f>
        <v/>
      </c>
      <c r="J4124">
        <f>IF(A4124="","",TEXT(A4124,"mmm-yyyy"))</f>
        <v/>
      </c>
    </row>
    <row r="4125">
      <c r="D4125">
        <f>IFERROR(XLOOKUP(C4125,'Vendor Master'!$A$6:$A$15,'Vendor Master'!$B$6:$B$15,""),"")</f>
        <v/>
      </c>
      <c r="J4125">
        <f>IF(A4125="","",TEXT(A4125,"mmm-yyyy"))</f>
        <v/>
      </c>
    </row>
    <row r="4126">
      <c r="D4126">
        <f>IFERROR(XLOOKUP(C4126,'Vendor Master'!$A$6:$A$15,'Vendor Master'!$B$6:$B$15,""),"")</f>
        <v/>
      </c>
      <c r="J4126">
        <f>IF(A4126="","",TEXT(A4126,"mmm-yyyy"))</f>
        <v/>
      </c>
    </row>
    <row r="4127">
      <c r="D4127">
        <f>IFERROR(XLOOKUP(C4127,'Vendor Master'!$A$6:$A$15,'Vendor Master'!$B$6:$B$15,""),"")</f>
        <v/>
      </c>
      <c r="J4127">
        <f>IF(A4127="","",TEXT(A4127,"mmm-yyyy"))</f>
        <v/>
      </c>
    </row>
    <row r="4128">
      <c r="D4128">
        <f>IFERROR(XLOOKUP(C4128,'Vendor Master'!$A$6:$A$15,'Vendor Master'!$B$6:$B$15,""),"")</f>
        <v/>
      </c>
      <c r="J4128">
        <f>IF(A4128="","",TEXT(A4128,"mmm-yyyy"))</f>
        <v/>
      </c>
    </row>
    <row r="4129">
      <c r="D4129">
        <f>IFERROR(XLOOKUP(C4129,'Vendor Master'!$A$6:$A$15,'Vendor Master'!$B$6:$B$15,""),"")</f>
        <v/>
      </c>
      <c r="J4129">
        <f>IF(A4129="","",TEXT(A4129,"mmm-yyyy"))</f>
        <v/>
      </c>
    </row>
    <row r="4130">
      <c r="D4130">
        <f>IFERROR(XLOOKUP(C4130,'Vendor Master'!$A$6:$A$15,'Vendor Master'!$B$6:$B$15,""),"")</f>
        <v/>
      </c>
      <c r="J4130">
        <f>IF(A4130="","",TEXT(A4130,"mmm-yyyy"))</f>
        <v/>
      </c>
    </row>
    <row r="4131">
      <c r="D4131">
        <f>IFERROR(XLOOKUP(C4131,'Vendor Master'!$A$6:$A$15,'Vendor Master'!$B$6:$B$15,""),"")</f>
        <v/>
      </c>
      <c r="J4131">
        <f>IF(A4131="","",TEXT(A4131,"mmm-yyyy"))</f>
        <v/>
      </c>
    </row>
    <row r="4132">
      <c r="D4132">
        <f>IFERROR(XLOOKUP(C4132,'Vendor Master'!$A$6:$A$15,'Vendor Master'!$B$6:$B$15,""),"")</f>
        <v/>
      </c>
      <c r="J4132">
        <f>IF(A4132="","",TEXT(A4132,"mmm-yyyy"))</f>
        <v/>
      </c>
    </row>
    <row r="4133">
      <c r="D4133">
        <f>IFERROR(XLOOKUP(C4133,'Vendor Master'!$A$6:$A$15,'Vendor Master'!$B$6:$B$15,""),"")</f>
        <v/>
      </c>
      <c r="J4133">
        <f>IF(A4133="","",TEXT(A4133,"mmm-yyyy"))</f>
        <v/>
      </c>
    </row>
    <row r="4134">
      <c r="D4134">
        <f>IFERROR(XLOOKUP(C4134,'Vendor Master'!$A$6:$A$15,'Vendor Master'!$B$6:$B$15,""),"")</f>
        <v/>
      </c>
      <c r="J4134">
        <f>IF(A4134="","",TEXT(A4134,"mmm-yyyy"))</f>
        <v/>
      </c>
    </row>
    <row r="4135">
      <c r="D4135">
        <f>IFERROR(XLOOKUP(C4135,'Vendor Master'!$A$6:$A$15,'Vendor Master'!$B$6:$B$15,""),"")</f>
        <v/>
      </c>
      <c r="J4135">
        <f>IF(A4135="","",TEXT(A4135,"mmm-yyyy"))</f>
        <v/>
      </c>
    </row>
    <row r="4136">
      <c r="D4136">
        <f>IFERROR(XLOOKUP(C4136,'Vendor Master'!$A$6:$A$15,'Vendor Master'!$B$6:$B$15,""),"")</f>
        <v/>
      </c>
      <c r="J4136">
        <f>IF(A4136="","",TEXT(A4136,"mmm-yyyy"))</f>
        <v/>
      </c>
    </row>
    <row r="4137">
      <c r="D4137">
        <f>IFERROR(XLOOKUP(C4137,'Vendor Master'!$A$6:$A$15,'Vendor Master'!$B$6:$B$15,""),"")</f>
        <v/>
      </c>
      <c r="J4137">
        <f>IF(A4137="","",TEXT(A4137,"mmm-yyyy"))</f>
        <v/>
      </c>
    </row>
    <row r="4138">
      <c r="D4138">
        <f>IFERROR(XLOOKUP(C4138,'Vendor Master'!$A$6:$A$15,'Vendor Master'!$B$6:$B$15,""),"")</f>
        <v/>
      </c>
      <c r="J4138">
        <f>IF(A4138="","",TEXT(A4138,"mmm-yyyy"))</f>
        <v/>
      </c>
    </row>
    <row r="4139">
      <c r="D4139">
        <f>IFERROR(XLOOKUP(C4139,'Vendor Master'!$A$6:$A$15,'Vendor Master'!$B$6:$B$15,""),"")</f>
        <v/>
      </c>
      <c r="J4139">
        <f>IF(A4139="","",TEXT(A4139,"mmm-yyyy"))</f>
        <v/>
      </c>
    </row>
    <row r="4140">
      <c r="D4140">
        <f>IFERROR(XLOOKUP(C4140,'Vendor Master'!$A$6:$A$15,'Vendor Master'!$B$6:$B$15,""),"")</f>
        <v/>
      </c>
      <c r="J4140">
        <f>IF(A4140="","",TEXT(A4140,"mmm-yyyy"))</f>
        <v/>
      </c>
    </row>
    <row r="4141">
      <c r="D4141">
        <f>IFERROR(XLOOKUP(C4141,'Vendor Master'!$A$6:$A$15,'Vendor Master'!$B$6:$B$15,""),"")</f>
        <v/>
      </c>
      <c r="J4141">
        <f>IF(A4141="","",TEXT(A4141,"mmm-yyyy"))</f>
        <v/>
      </c>
    </row>
    <row r="4142">
      <c r="D4142">
        <f>IFERROR(XLOOKUP(C4142,'Vendor Master'!$A$6:$A$15,'Vendor Master'!$B$6:$B$15,""),"")</f>
        <v/>
      </c>
      <c r="J4142">
        <f>IF(A4142="","",TEXT(A4142,"mmm-yyyy"))</f>
        <v/>
      </c>
    </row>
    <row r="4143">
      <c r="D4143">
        <f>IFERROR(XLOOKUP(C4143,'Vendor Master'!$A$6:$A$15,'Vendor Master'!$B$6:$B$15,""),"")</f>
        <v/>
      </c>
      <c r="J4143">
        <f>IF(A4143="","",TEXT(A4143,"mmm-yyyy"))</f>
        <v/>
      </c>
    </row>
    <row r="4144">
      <c r="D4144">
        <f>IFERROR(XLOOKUP(C4144,'Vendor Master'!$A$6:$A$15,'Vendor Master'!$B$6:$B$15,""),"")</f>
        <v/>
      </c>
      <c r="J4144">
        <f>IF(A4144="","",TEXT(A4144,"mmm-yyyy"))</f>
        <v/>
      </c>
    </row>
    <row r="4145">
      <c r="D4145">
        <f>IFERROR(XLOOKUP(C4145,'Vendor Master'!$A$6:$A$15,'Vendor Master'!$B$6:$B$15,""),"")</f>
        <v/>
      </c>
      <c r="J4145">
        <f>IF(A4145="","",TEXT(A4145,"mmm-yyyy"))</f>
        <v/>
      </c>
    </row>
    <row r="4146">
      <c r="D4146">
        <f>IFERROR(XLOOKUP(C4146,'Vendor Master'!$A$6:$A$15,'Vendor Master'!$B$6:$B$15,""),"")</f>
        <v/>
      </c>
      <c r="J4146">
        <f>IF(A4146="","",TEXT(A4146,"mmm-yyyy"))</f>
        <v/>
      </c>
    </row>
    <row r="4147">
      <c r="D4147">
        <f>IFERROR(XLOOKUP(C4147,'Vendor Master'!$A$6:$A$15,'Vendor Master'!$B$6:$B$15,""),"")</f>
        <v/>
      </c>
      <c r="J4147">
        <f>IF(A4147="","",TEXT(A4147,"mmm-yyyy"))</f>
        <v/>
      </c>
    </row>
    <row r="4148">
      <c r="D4148">
        <f>IFERROR(XLOOKUP(C4148,'Vendor Master'!$A$6:$A$15,'Vendor Master'!$B$6:$B$15,""),"")</f>
        <v/>
      </c>
      <c r="J4148">
        <f>IF(A4148="","",TEXT(A4148,"mmm-yyyy"))</f>
        <v/>
      </c>
    </row>
    <row r="4149">
      <c r="D4149">
        <f>IFERROR(XLOOKUP(C4149,'Vendor Master'!$A$6:$A$15,'Vendor Master'!$B$6:$B$15,""),"")</f>
        <v/>
      </c>
      <c r="J4149">
        <f>IF(A4149="","",TEXT(A4149,"mmm-yyyy"))</f>
        <v/>
      </c>
    </row>
    <row r="4150">
      <c r="D4150">
        <f>IFERROR(XLOOKUP(C4150,'Vendor Master'!$A$6:$A$15,'Vendor Master'!$B$6:$B$15,""),"")</f>
        <v/>
      </c>
      <c r="J4150">
        <f>IF(A4150="","",TEXT(A4150,"mmm-yyyy"))</f>
        <v/>
      </c>
    </row>
    <row r="4151">
      <c r="D4151">
        <f>IFERROR(XLOOKUP(C4151,'Vendor Master'!$A$6:$A$15,'Vendor Master'!$B$6:$B$15,""),"")</f>
        <v/>
      </c>
      <c r="J4151">
        <f>IF(A4151="","",TEXT(A4151,"mmm-yyyy"))</f>
        <v/>
      </c>
    </row>
    <row r="4152">
      <c r="D4152">
        <f>IFERROR(XLOOKUP(C4152,'Vendor Master'!$A$6:$A$15,'Vendor Master'!$B$6:$B$15,""),"")</f>
        <v/>
      </c>
      <c r="J4152">
        <f>IF(A4152="","",TEXT(A4152,"mmm-yyyy"))</f>
        <v/>
      </c>
    </row>
    <row r="4153">
      <c r="D4153">
        <f>IFERROR(XLOOKUP(C4153,'Vendor Master'!$A$6:$A$15,'Vendor Master'!$B$6:$B$15,""),"")</f>
        <v/>
      </c>
      <c r="J4153">
        <f>IF(A4153="","",TEXT(A4153,"mmm-yyyy"))</f>
        <v/>
      </c>
    </row>
    <row r="4154">
      <c r="D4154">
        <f>IFERROR(XLOOKUP(C4154,'Vendor Master'!$A$6:$A$15,'Vendor Master'!$B$6:$B$15,""),"")</f>
        <v/>
      </c>
      <c r="J4154">
        <f>IF(A4154="","",TEXT(A4154,"mmm-yyyy"))</f>
        <v/>
      </c>
    </row>
    <row r="4155">
      <c r="D4155">
        <f>IFERROR(XLOOKUP(C4155,'Vendor Master'!$A$6:$A$15,'Vendor Master'!$B$6:$B$15,""),"")</f>
        <v/>
      </c>
      <c r="J4155">
        <f>IF(A4155="","",TEXT(A4155,"mmm-yyyy"))</f>
        <v/>
      </c>
    </row>
    <row r="4156">
      <c r="D4156">
        <f>IFERROR(XLOOKUP(C4156,'Vendor Master'!$A$6:$A$15,'Vendor Master'!$B$6:$B$15,""),"")</f>
        <v/>
      </c>
      <c r="J4156">
        <f>IF(A4156="","",TEXT(A4156,"mmm-yyyy"))</f>
        <v/>
      </c>
    </row>
    <row r="4157">
      <c r="D4157">
        <f>IFERROR(XLOOKUP(C4157,'Vendor Master'!$A$6:$A$15,'Vendor Master'!$B$6:$B$15,""),"")</f>
        <v/>
      </c>
      <c r="J4157">
        <f>IF(A4157="","",TEXT(A4157,"mmm-yyyy"))</f>
        <v/>
      </c>
    </row>
    <row r="4158">
      <c r="D4158">
        <f>IFERROR(XLOOKUP(C4158,'Vendor Master'!$A$6:$A$15,'Vendor Master'!$B$6:$B$15,""),"")</f>
        <v/>
      </c>
      <c r="J4158">
        <f>IF(A4158="","",TEXT(A4158,"mmm-yyyy"))</f>
        <v/>
      </c>
    </row>
    <row r="4159">
      <c r="D4159">
        <f>IFERROR(XLOOKUP(C4159,'Vendor Master'!$A$6:$A$15,'Vendor Master'!$B$6:$B$15,""),"")</f>
        <v/>
      </c>
      <c r="J4159">
        <f>IF(A4159="","",TEXT(A4159,"mmm-yyyy"))</f>
        <v/>
      </c>
    </row>
    <row r="4160">
      <c r="D4160">
        <f>IFERROR(XLOOKUP(C4160,'Vendor Master'!$A$6:$A$15,'Vendor Master'!$B$6:$B$15,""),"")</f>
        <v/>
      </c>
      <c r="J4160">
        <f>IF(A4160="","",TEXT(A4160,"mmm-yyyy"))</f>
        <v/>
      </c>
    </row>
    <row r="4161">
      <c r="D4161">
        <f>IFERROR(XLOOKUP(C4161,'Vendor Master'!$A$6:$A$15,'Vendor Master'!$B$6:$B$15,""),"")</f>
        <v/>
      </c>
      <c r="J4161">
        <f>IF(A4161="","",TEXT(A4161,"mmm-yyyy"))</f>
        <v/>
      </c>
    </row>
    <row r="4162">
      <c r="D4162">
        <f>IFERROR(XLOOKUP(C4162,'Vendor Master'!$A$6:$A$15,'Vendor Master'!$B$6:$B$15,""),"")</f>
        <v/>
      </c>
      <c r="J4162">
        <f>IF(A4162="","",TEXT(A4162,"mmm-yyyy"))</f>
        <v/>
      </c>
    </row>
    <row r="4163">
      <c r="D4163">
        <f>IFERROR(XLOOKUP(C4163,'Vendor Master'!$A$6:$A$15,'Vendor Master'!$B$6:$B$15,""),"")</f>
        <v/>
      </c>
      <c r="J4163">
        <f>IF(A4163="","",TEXT(A4163,"mmm-yyyy"))</f>
        <v/>
      </c>
    </row>
    <row r="4164">
      <c r="D4164">
        <f>IFERROR(XLOOKUP(C4164,'Vendor Master'!$A$6:$A$15,'Vendor Master'!$B$6:$B$15,""),"")</f>
        <v/>
      </c>
      <c r="J4164">
        <f>IF(A4164="","",TEXT(A4164,"mmm-yyyy"))</f>
        <v/>
      </c>
    </row>
    <row r="4165">
      <c r="D4165">
        <f>IFERROR(XLOOKUP(C4165,'Vendor Master'!$A$6:$A$15,'Vendor Master'!$B$6:$B$15,""),"")</f>
        <v/>
      </c>
      <c r="J4165">
        <f>IF(A4165="","",TEXT(A4165,"mmm-yyyy"))</f>
        <v/>
      </c>
    </row>
    <row r="4166">
      <c r="D4166">
        <f>IFERROR(XLOOKUP(C4166,'Vendor Master'!$A$6:$A$15,'Vendor Master'!$B$6:$B$15,""),"")</f>
        <v/>
      </c>
      <c r="J4166">
        <f>IF(A4166="","",TEXT(A4166,"mmm-yyyy"))</f>
        <v/>
      </c>
    </row>
    <row r="4167">
      <c r="D4167">
        <f>IFERROR(XLOOKUP(C4167,'Vendor Master'!$A$6:$A$15,'Vendor Master'!$B$6:$B$15,""),"")</f>
        <v/>
      </c>
      <c r="J4167">
        <f>IF(A4167="","",TEXT(A4167,"mmm-yyyy"))</f>
        <v/>
      </c>
    </row>
    <row r="4168">
      <c r="D4168">
        <f>IFERROR(XLOOKUP(C4168,'Vendor Master'!$A$6:$A$15,'Vendor Master'!$B$6:$B$15,""),"")</f>
        <v/>
      </c>
      <c r="J4168">
        <f>IF(A4168="","",TEXT(A4168,"mmm-yyyy"))</f>
        <v/>
      </c>
    </row>
    <row r="4169">
      <c r="D4169">
        <f>IFERROR(XLOOKUP(C4169,'Vendor Master'!$A$6:$A$15,'Vendor Master'!$B$6:$B$15,""),"")</f>
        <v/>
      </c>
      <c r="J4169">
        <f>IF(A4169="","",TEXT(A4169,"mmm-yyyy"))</f>
        <v/>
      </c>
    </row>
    <row r="4170">
      <c r="D4170">
        <f>IFERROR(XLOOKUP(C4170,'Vendor Master'!$A$6:$A$15,'Vendor Master'!$B$6:$B$15,""),"")</f>
        <v/>
      </c>
      <c r="J4170">
        <f>IF(A4170="","",TEXT(A4170,"mmm-yyyy"))</f>
        <v/>
      </c>
    </row>
    <row r="4171">
      <c r="D4171">
        <f>IFERROR(XLOOKUP(C4171,'Vendor Master'!$A$6:$A$15,'Vendor Master'!$B$6:$B$15,""),"")</f>
        <v/>
      </c>
      <c r="J4171">
        <f>IF(A4171="","",TEXT(A4171,"mmm-yyyy"))</f>
        <v/>
      </c>
    </row>
    <row r="4172">
      <c r="D4172">
        <f>IFERROR(XLOOKUP(C4172,'Vendor Master'!$A$6:$A$15,'Vendor Master'!$B$6:$B$15,""),"")</f>
        <v/>
      </c>
      <c r="J4172">
        <f>IF(A4172="","",TEXT(A4172,"mmm-yyyy"))</f>
        <v/>
      </c>
    </row>
    <row r="4173">
      <c r="D4173">
        <f>IFERROR(XLOOKUP(C4173,'Vendor Master'!$A$6:$A$15,'Vendor Master'!$B$6:$B$15,""),"")</f>
        <v/>
      </c>
      <c r="J4173">
        <f>IF(A4173="","",TEXT(A4173,"mmm-yyyy"))</f>
        <v/>
      </c>
    </row>
    <row r="4174">
      <c r="D4174">
        <f>IFERROR(XLOOKUP(C4174,'Vendor Master'!$A$6:$A$15,'Vendor Master'!$B$6:$B$15,""),"")</f>
        <v/>
      </c>
      <c r="J4174">
        <f>IF(A4174="","",TEXT(A4174,"mmm-yyyy"))</f>
        <v/>
      </c>
    </row>
    <row r="4175">
      <c r="D4175">
        <f>IFERROR(XLOOKUP(C4175,'Vendor Master'!$A$6:$A$15,'Vendor Master'!$B$6:$B$15,""),"")</f>
        <v/>
      </c>
      <c r="J4175">
        <f>IF(A4175="","",TEXT(A4175,"mmm-yyyy"))</f>
        <v/>
      </c>
    </row>
    <row r="4176">
      <c r="D4176">
        <f>IFERROR(XLOOKUP(C4176,'Vendor Master'!$A$6:$A$15,'Vendor Master'!$B$6:$B$15,""),"")</f>
        <v/>
      </c>
      <c r="J4176">
        <f>IF(A4176="","",TEXT(A4176,"mmm-yyyy"))</f>
        <v/>
      </c>
    </row>
    <row r="4177">
      <c r="D4177">
        <f>IFERROR(XLOOKUP(C4177,'Vendor Master'!$A$6:$A$15,'Vendor Master'!$B$6:$B$15,""),"")</f>
        <v/>
      </c>
      <c r="J4177">
        <f>IF(A4177="","",TEXT(A4177,"mmm-yyyy"))</f>
        <v/>
      </c>
    </row>
    <row r="4178">
      <c r="D4178">
        <f>IFERROR(XLOOKUP(C4178,'Vendor Master'!$A$6:$A$15,'Vendor Master'!$B$6:$B$15,""),"")</f>
        <v/>
      </c>
      <c r="J4178">
        <f>IF(A4178="","",TEXT(A4178,"mmm-yyyy"))</f>
        <v/>
      </c>
    </row>
    <row r="4179">
      <c r="D4179">
        <f>IFERROR(XLOOKUP(C4179,'Vendor Master'!$A$6:$A$15,'Vendor Master'!$B$6:$B$15,""),"")</f>
        <v/>
      </c>
      <c r="J4179">
        <f>IF(A4179="","",TEXT(A4179,"mmm-yyyy"))</f>
        <v/>
      </c>
    </row>
    <row r="4180">
      <c r="D4180">
        <f>IFERROR(XLOOKUP(C4180,'Vendor Master'!$A$6:$A$15,'Vendor Master'!$B$6:$B$15,""),"")</f>
        <v/>
      </c>
      <c r="J4180">
        <f>IF(A4180="","",TEXT(A4180,"mmm-yyyy"))</f>
        <v/>
      </c>
    </row>
    <row r="4181">
      <c r="D4181">
        <f>IFERROR(XLOOKUP(C4181,'Vendor Master'!$A$6:$A$15,'Vendor Master'!$B$6:$B$15,""),"")</f>
        <v/>
      </c>
      <c r="J4181">
        <f>IF(A4181="","",TEXT(A4181,"mmm-yyyy"))</f>
        <v/>
      </c>
    </row>
    <row r="4182">
      <c r="D4182">
        <f>IFERROR(XLOOKUP(C4182,'Vendor Master'!$A$6:$A$15,'Vendor Master'!$B$6:$B$15,""),"")</f>
        <v/>
      </c>
      <c r="J4182">
        <f>IF(A4182="","",TEXT(A4182,"mmm-yyyy"))</f>
        <v/>
      </c>
    </row>
    <row r="4183">
      <c r="D4183">
        <f>IFERROR(XLOOKUP(C4183,'Vendor Master'!$A$6:$A$15,'Vendor Master'!$B$6:$B$15,""),"")</f>
        <v/>
      </c>
      <c r="J4183">
        <f>IF(A4183="","",TEXT(A4183,"mmm-yyyy"))</f>
        <v/>
      </c>
    </row>
    <row r="4184">
      <c r="D4184">
        <f>IFERROR(XLOOKUP(C4184,'Vendor Master'!$A$6:$A$15,'Vendor Master'!$B$6:$B$15,""),"")</f>
        <v/>
      </c>
      <c r="J4184">
        <f>IF(A4184="","",TEXT(A4184,"mmm-yyyy"))</f>
        <v/>
      </c>
    </row>
    <row r="4185">
      <c r="D4185">
        <f>IFERROR(XLOOKUP(C4185,'Vendor Master'!$A$6:$A$15,'Vendor Master'!$B$6:$B$15,""),"")</f>
        <v/>
      </c>
      <c r="J4185">
        <f>IF(A4185="","",TEXT(A4185,"mmm-yyyy"))</f>
        <v/>
      </c>
    </row>
    <row r="4186">
      <c r="D4186">
        <f>IFERROR(XLOOKUP(C4186,'Vendor Master'!$A$6:$A$15,'Vendor Master'!$B$6:$B$15,""),"")</f>
        <v/>
      </c>
      <c r="J4186">
        <f>IF(A4186="","",TEXT(A4186,"mmm-yyyy"))</f>
        <v/>
      </c>
    </row>
    <row r="4187">
      <c r="D4187">
        <f>IFERROR(XLOOKUP(C4187,'Vendor Master'!$A$6:$A$15,'Vendor Master'!$B$6:$B$15,""),"")</f>
        <v/>
      </c>
      <c r="J4187">
        <f>IF(A4187="","",TEXT(A4187,"mmm-yyyy"))</f>
        <v/>
      </c>
    </row>
    <row r="4188">
      <c r="D4188">
        <f>IFERROR(XLOOKUP(C4188,'Vendor Master'!$A$6:$A$15,'Vendor Master'!$B$6:$B$15,""),"")</f>
        <v/>
      </c>
      <c r="J4188">
        <f>IF(A4188="","",TEXT(A4188,"mmm-yyyy"))</f>
        <v/>
      </c>
    </row>
    <row r="4189">
      <c r="D4189">
        <f>IFERROR(XLOOKUP(C4189,'Vendor Master'!$A$6:$A$15,'Vendor Master'!$B$6:$B$15,""),"")</f>
        <v/>
      </c>
      <c r="J4189">
        <f>IF(A4189="","",TEXT(A4189,"mmm-yyyy"))</f>
        <v/>
      </c>
    </row>
    <row r="4190">
      <c r="D4190">
        <f>IFERROR(XLOOKUP(C4190,'Vendor Master'!$A$6:$A$15,'Vendor Master'!$B$6:$B$15,""),"")</f>
        <v/>
      </c>
      <c r="J4190">
        <f>IF(A4190="","",TEXT(A4190,"mmm-yyyy"))</f>
        <v/>
      </c>
    </row>
    <row r="4191">
      <c r="D4191">
        <f>IFERROR(XLOOKUP(C4191,'Vendor Master'!$A$6:$A$15,'Vendor Master'!$B$6:$B$15,""),"")</f>
        <v/>
      </c>
      <c r="J4191">
        <f>IF(A4191="","",TEXT(A4191,"mmm-yyyy"))</f>
        <v/>
      </c>
    </row>
    <row r="4192">
      <c r="D4192">
        <f>IFERROR(XLOOKUP(C4192,'Vendor Master'!$A$6:$A$15,'Vendor Master'!$B$6:$B$15,""),"")</f>
        <v/>
      </c>
      <c r="J4192">
        <f>IF(A4192="","",TEXT(A4192,"mmm-yyyy"))</f>
        <v/>
      </c>
    </row>
    <row r="4193">
      <c r="D4193">
        <f>IFERROR(XLOOKUP(C4193,'Vendor Master'!$A$6:$A$15,'Vendor Master'!$B$6:$B$15,""),"")</f>
        <v/>
      </c>
      <c r="J4193">
        <f>IF(A4193="","",TEXT(A4193,"mmm-yyyy"))</f>
        <v/>
      </c>
    </row>
    <row r="4194">
      <c r="D4194">
        <f>IFERROR(XLOOKUP(C4194,'Vendor Master'!$A$6:$A$15,'Vendor Master'!$B$6:$B$15,""),"")</f>
        <v/>
      </c>
      <c r="J4194">
        <f>IF(A4194="","",TEXT(A4194,"mmm-yyyy"))</f>
        <v/>
      </c>
    </row>
    <row r="4195">
      <c r="D4195">
        <f>IFERROR(XLOOKUP(C4195,'Vendor Master'!$A$6:$A$15,'Vendor Master'!$B$6:$B$15,""),"")</f>
        <v/>
      </c>
      <c r="J4195">
        <f>IF(A4195="","",TEXT(A4195,"mmm-yyyy"))</f>
        <v/>
      </c>
    </row>
    <row r="4196">
      <c r="D4196">
        <f>IFERROR(XLOOKUP(C4196,'Vendor Master'!$A$6:$A$15,'Vendor Master'!$B$6:$B$15,""),"")</f>
        <v/>
      </c>
      <c r="J4196">
        <f>IF(A4196="","",TEXT(A4196,"mmm-yyyy"))</f>
        <v/>
      </c>
    </row>
    <row r="4197">
      <c r="D4197">
        <f>IFERROR(XLOOKUP(C4197,'Vendor Master'!$A$6:$A$15,'Vendor Master'!$B$6:$B$15,""),"")</f>
        <v/>
      </c>
      <c r="J4197">
        <f>IF(A4197="","",TEXT(A4197,"mmm-yyyy"))</f>
        <v/>
      </c>
    </row>
    <row r="4198">
      <c r="D4198">
        <f>IFERROR(XLOOKUP(C4198,'Vendor Master'!$A$6:$A$15,'Vendor Master'!$B$6:$B$15,""),"")</f>
        <v/>
      </c>
      <c r="J4198">
        <f>IF(A4198="","",TEXT(A4198,"mmm-yyyy"))</f>
        <v/>
      </c>
    </row>
    <row r="4199">
      <c r="D4199">
        <f>IFERROR(XLOOKUP(C4199,'Vendor Master'!$A$6:$A$15,'Vendor Master'!$B$6:$B$15,""),"")</f>
        <v/>
      </c>
      <c r="J4199">
        <f>IF(A4199="","",TEXT(A4199,"mmm-yyyy"))</f>
        <v/>
      </c>
    </row>
    <row r="4200">
      <c r="D4200">
        <f>IFERROR(XLOOKUP(C4200,'Vendor Master'!$A$6:$A$15,'Vendor Master'!$B$6:$B$15,""),"")</f>
        <v/>
      </c>
      <c r="J4200">
        <f>IF(A4200="","",TEXT(A4200,"mmm-yyyy"))</f>
        <v/>
      </c>
    </row>
    <row r="4201">
      <c r="D4201">
        <f>IFERROR(XLOOKUP(C4201,'Vendor Master'!$A$6:$A$15,'Vendor Master'!$B$6:$B$15,""),"")</f>
        <v/>
      </c>
      <c r="J4201">
        <f>IF(A4201="","",TEXT(A4201,"mmm-yyyy"))</f>
        <v/>
      </c>
    </row>
    <row r="4202">
      <c r="D4202">
        <f>IFERROR(XLOOKUP(C4202,'Vendor Master'!$A$6:$A$15,'Vendor Master'!$B$6:$B$15,""),"")</f>
        <v/>
      </c>
      <c r="J4202">
        <f>IF(A4202="","",TEXT(A4202,"mmm-yyyy"))</f>
        <v/>
      </c>
    </row>
    <row r="4203">
      <c r="D4203">
        <f>IFERROR(XLOOKUP(C4203,'Vendor Master'!$A$6:$A$15,'Vendor Master'!$B$6:$B$15,""),"")</f>
        <v/>
      </c>
      <c r="J4203">
        <f>IF(A4203="","",TEXT(A4203,"mmm-yyyy"))</f>
        <v/>
      </c>
    </row>
    <row r="4204">
      <c r="D4204">
        <f>IFERROR(XLOOKUP(C4204,'Vendor Master'!$A$6:$A$15,'Vendor Master'!$B$6:$B$15,""),"")</f>
        <v/>
      </c>
      <c r="J4204">
        <f>IF(A4204="","",TEXT(A4204,"mmm-yyyy"))</f>
        <v/>
      </c>
    </row>
    <row r="4205">
      <c r="D4205">
        <f>IFERROR(XLOOKUP(C4205,'Vendor Master'!$A$6:$A$15,'Vendor Master'!$B$6:$B$15,""),"")</f>
        <v/>
      </c>
      <c r="J4205">
        <f>IF(A4205="","",TEXT(A4205,"mmm-yyyy"))</f>
        <v/>
      </c>
    </row>
    <row r="4206">
      <c r="D4206">
        <f>IFERROR(XLOOKUP(C4206,'Vendor Master'!$A$6:$A$15,'Vendor Master'!$B$6:$B$15,""),"")</f>
        <v/>
      </c>
      <c r="J4206">
        <f>IF(A4206="","",TEXT(A4206,"mmm-yyyy"))</f>
        <v/>
      </c>
    </row>
    <row r="4207">
      <c r="D4207">
        <f>IFERROR(XLOOKUP(C4207,'Vendor Master'!$A$6:$A$15,'Vendor Master'!$B$6:$B$15,""),"")</f>
        <v/>
      </c>
      <c r="J4207">
        <f>IF(A4207="","",TEXT(A4207,"mmm-yyyy"))</f>
        <v/>
      </c>
    </row>
    <row r="4208">
      <c r="D4208">
        <f>IFERROR(XLOOKUP(C4208,'Vendor Master'!$A$6:$A$15,'Vendor Master'!$B$6:$B$15,""),"")</f>
        <v/>
      </c>
      <c r="J4208">
        <f>IF(A4208="","",TEXT(A4208,"mmm-yyyy"))</f>
        <v/>
      </c>
    </row>
    <row r="4209">
      <c r="D4209">
        <f>IFERROR(XLOOKUP(C4209,'Vendor Master'!$A$6:$A$15,'Vendor Master'!$B$6:$B$15,""),"")</f>
        <v/>
      </c>
      <c r="J4209">
        <f>IF(A4209="","",TEXT(A4209,"mmm-yyyy"))</f>
        <v/>
      </c>
    </row>
    <row r="4210">
      <c r="D4210">
        <f>IFERROR(XLOOKUP(C4210,'Vendor Master'!$A$6:$A$15,'Vendor Master'!$B$6:$B$15,""),"")</f>
        <v/>
      </c>
      <c r="J4210">
        <f>IF(A4210="","",TEXT(A4210,"mmm-yyyy"))</f>
        <v/>
      </c>
    </row>
    <row r="4211">
      <c r="D4211">
        <f>IFERROR(XLOOKUP(C4211,'Vendor Master'!$A$6:$A$15,'Vendor Master'!$B$6:$B$15,""),"")</f>
        <v/>
      </c>
      <c r="J4211">
        <f>IF(A4211="","",TEXT(A4211,"mmm-yyyy"))</f>
        <v/>
      </c>
    </row>
    <row r="4212">
      <c r="D4212">
        <f>IFERROR(XLOOKUP(C4212,'Vendor Master'!$A$6:$A$15,'Vendor Master'!$B$6:$B$15,""),"")</f>
        <v/>
      </c>
      <c r="J4212">
        <f>IF(A4212="","",TEXT(A4212,"mmm-yyyy"))</f>
        <v/>
      </c>
    </row>
    <row r="4213">
      <c r="D4213">
        <f>IFERROR(XLOOKUP(C4213,'Vendor Master'!$A$6:$A$15,'Vendor Master'!$B$6:$B$15,""),"")</f>
        <v/>
      </c>
      <c r="J4213">
        <f>IF(A4213="","",TEXT(A4213,"mmm-yyyy"))</f>
        <v/>
      </c>
    </row>
    <row r="4214">
      <c r="D4214">
        <f>IFERROR(XLOOKUP(C4214,'Vendor Master'!$A$6:$A$15,'Vendor Master'!$B$6:$B$15,""),"")</f>
        <v/>
      </c>
      <c r="J4214">
        <f>IF(A4214="","",TEXT(A4214,"mmm-yyyy"))</f>
        <v/>
      </c>
    </row>
    <row r="4215">
      <c r="D4215">
        <f>IFERROR(XLOOKUP(C4215,'Vendor Master'!$A$6:$A$15,'Vendor Master'!$B$6:$B$15,""),"")</f>
        <v/>
      </c>
      <c r="J4215">
        <f>IF(A4215="","",TEXT(A4215,"mmm-yyyy"))</f>
        <v/>
      </c>
    </row>
    <row r="4216">
      <c r="D4216">
        <f>IFERROR(XLOOKUP(C4216,'Vendor Master'!$A$6:$A$15,'Vendor Master'!$B$6:$B$15,""),"")</f>
        <v/>
      </c>
      <c r="J4216">
        <f>IF(A4216="","",TEXT(A4216,"mmm-yyyy"))</f>
        <v/>
      </c>
    </row>
    <row r="4217">
      <c r="D4217">
        <f>IFERROR(XLOOKUP(C4217,'Vendor Master'!$A$6:$A$15,'Vendor Master'!$B$6:$B$15,""),"")</f>
        <v/>
      </c>
      <c r="J4217">
        <f>IF(A4217="","",TEXT(A4217,"mmm-yyyy"))</f>
        <v/>
      </c>
    </row>
    <row r="4218">
      <c r="D4218">
        <f>IFERROR(XLOOKUP(C4218,'Vendor Master'!$A$6:$A$15,'Vendor Master'!$B$6:$B$15,""),"")</f>
        <v/>
      </c>
      <c r="J4218">
        <f>IF(A4218="","",TEXT(A4218,"mmm-yyyy"))</f>
        <v/>
      </c>
    </row>
    <row r="4219">
      <c r="D4219">
        <f>IFERROR(XLOOKUP(C4219,'Vendor Master'!$A$6:$A$15,'Vendor Master'!$B$6:$B$15,""),"")</f>
        <v/>
      </c>
      <c r="J4219">
        <f>IF(A4219="","",TEXT(A4219,"mmm-yyyy"))</f>
        <v/>
      </c>
    </row>
    <row r="4220">
      <c r="D4220">
        <f>IFERROR(XLOOKUP(C4220,'Vendor Master'!$A$6:$A$15,'Vendor Master'!$B$6:$B$15,""),"")</f>
        <v/>
      </c>
      <c r="J4220">
        <f>IF(A4220="","",TEXT(A4220,"mmm-yyyy"))</f>
        <v/>
      </c>
    </row>
    <row r="4221">
      <c r="D4221">
        <f>IFERROR(XLOOKUP(C4221,'Vendor Master'!$A$6:$A$15,'Vendor Master'!$B$6:$B$15,""),"")</f>
        <v/>
      </c>
      <c r="J4221">
        <f>IF(A4221="","",TEXT(A4221,"mmm-yyyy"))</f>
        <v/>
      </c>
    </row>
    <row r="4222">
      <c r="D4222">
        <f>IFERROR(XLOOKUP(C4222,'Vendor Master'!$A$6:$A$15,'Vendor Master'!$B$6:$B$15,""),"")</f>
        <v/>
      </c>
      <c r="J4222">
        <f>IF(A4222="","",TEXT(A4222,"mmm-yyyy"))</f>
        <v/>
      </c>
    </row>
    <row r="4223">
      <c r="D4223">
        <f>IFERROR(XLOOKUP(C4223,'Vendor Master'!$A$6:$A$15,'Vendor Master'!$B$6:$B$15,""),"")</f>
        <v/>
      </c>
      <c r="J4223">
        <f>IF(A4223="","",TEXT(A4223,"mmm-yyyy"))</f>
        <v/>
      </c>
    </row>
    <row r="4224">
      <c r="D4224">
        <f>IFERROR(XLOOKUP(C4224,'Vendor Master'!$A$6:$A$15,'Vendor Master'!$B$6:$B$15,""),"")</f>
        <v/>
      </c>
      <c r="J4224">
        <f>IF(A4224="","",TEXT(A4224,"mmm-yyyy"))</f>
        <v/>
      </c>
    </row>
    <row r="4225">
      <c r="D4225">
        <f>IFERROR(XLOOKUP(C4225,'Vendor Master'!$A$6:$A$15,'Vendor Master'!$B$6:$B$15,""),"")</f>
        <v/>
      </c>
      <c r="J4225">
        <f>IF(A4225="","",TEXT(A4225,"mmm-yyyy"))</f>
        <v/>
      </c>
    </row>
    <row r="4226">
      <c r="D4226">
        <f>IFERROR(XLOOKUP(C4226,'Vendor Master'!$A$6:$A$15,'Vendor Master'!$B$6:$B$15,""),"")</f>
        <v/>
      </c>
      <c r="J4226">
        <f>IF(A4226="","",TEXT(A4226,"mmm-yyyy"))</f>
        <v/>
      </c>
    </row>
    <row r="4227">
      <c r="D4227">
        <f>IFERROR(XLOOKUP(C4227,'Vendor Master'!$A$6:$A$15,'Vendor Master'!$B$6:$B$15,""),"")</f>
        <v/>
      </c>
      <c r="J4227">
        <f>IF(A4227="","",TEXT(A4227,"mmm-yyyy"))</f>
        <v/>
      </c>
    </row>
    <row r="4228">
      <c r="D4228">
        <f>IFERROR(XLOOKUP(C4228,'Vendor Master'!$A$6:$A$15,'Vendor Master'!$B$6:$B$15,""),"")</f>
        <v/>
      </c>
      <c r="J4228">
        <f>IF(A4228="","",TEXT(A4228,"mmm-yyyy"))</f>
        <v/>
      </c>
    </row>
    <row r="4229">
      <c r="D4229">
        <f>IFERROR(XLOOKUP(C4229,'Vendor Master'!$A$6:$A$15,'Vendor Master'!$B$6:$B$15,""),"")</f>
        <v/>
      </c>
      <c r="J4229">
        <f>IF(A4229="","",TEXT(A4229,"mmm-yyyy"))</f>
        <v/>
      </c>
    </row>
    <row r="4230">
      <c r="D4230">
        <f>IFERROR(XLOOKUP(C4230,'Vendor Master'!$A$6:$A$15,'Vendor Master'!$B$6:$B$15,""),"")</f>
        <v/>
      </c>
      <c r="J4230">
        <f>IF(A4230="","",TEXT(A4230,"mmm-yyyy"))</f>
        <v/>
      </c>
    </row>
    <row r="4231">
      <c r="D4231">
        <f>IFERROR(XLOOKUP(C4231,'Vendor Master'!$A$6:$A$15,'Vendor Master'!$B$6:$B$15,""),"")</f>
        <v/>
      </c>
      <c r="J4231">
        <f>IF(A4231="","",TEXT(A4231,"mmm-yyyy"))</f>
        <v/>
      </c>
    </row>
    <row r="4232">
      <c r="D4232">
        <f>IFERROR(XLOOKUP(C4232,'Vendor Master'!$A$6:$A$15,'Vendor Master'!$B$6:$B$15,""),"")</f>
        <v/>
      </c>
      <c r="J4232">
        <f>IF(A4232="","",TEXT(A4232,"mmm-yyyy"))</f>
        <v/>
      </c>
    </row>
    <row r="4233">
      <c r="D4233">
        <f>IFERROR(XLOOKUP(C4233,'Vendor Master'!$A$6:$A$15,'Vendor Master'!$B$6:$B$15,""),"")</f>
        <v/>
      </c>
      <c r="J4233">
        <f>IF(A4233="","",TEXT(A4233,"mmm-yyyy"))</f>
        <v/>
      </c>
    </row>
    <row r="4234">
      <c r="D4234">
        <f>IFERROR(XLOOKUP(C4234,'Vendor Master'!$A$6:$A$15,'Vendor Master'!$B$6:$B$15,""),"")</f>
        <v/>
      </c>
      <c r="J4234">
        <f>IF(A4234="","",TEXT(A4234,"mmm-yyyy"))</f>
        <v/>
      </c>
    </row>
    <row r="4235">
      <c r="D4235">
        <f>IFERROR(XLOOKUP(C4235,'Vendor Master'!$A$6:$A$15,'Vendor Master'!$B$6:$B$15,""),"")</f>
        <v/>
      </c>
      <c r="J4235">
        <f>IF(A4235="","",TEXT(A4235,"mmm-yyyy"))</f>
        <v/>
      </c>
    </row>
    <row r="4236">
      <c r="D4236">
        <f>IFERROR(XLOOKUP(C4236,'Vendor Master'!$A$6:$A$15,'Vendor Master'!$B$6:$B$15,""),"")</f>
        <v/>
      </c>
      <c r="J4236">
        <f>IF(A4236="","",TEXT(A4236,"mmm-yyyy"))</f>
        <v/>
      </c>
    </row>
    <row r="4237">
      <c r="D4237">
        <f>IFERROR(XLOOKUP(C4237,'Vendor Master'!$A$6:$A$15,'Vendor Master'!$B$6:$B$15,""),"")</f>
        <v/>
      </c>
      <c r="J4237">
        <f>IF(A4237="","",TEXT(A4237,"mmm-yyyy"))</f>
        <v/>
      </c>
    </row>
    <row r="4238">
      <c r="D4238">
        <f>IFERROR(XLOOKUP(C4238,'Vendor Master'!$A$6:$A$15,'Vendor Master'!$B$6:$B$15,""),"")</f>
        <v/>
      </c>
      <c r="J4238">
        <f>IF(A4238="","",TEXT(A4238,"mmm-yyyy"))</f>
        <v/>
      </c>
    </row>
    <row r="4239">
      <c r="D4239">
        <f>IFERROR(XLOOKUP(C4239,'Vendor Master'!$A$6:$A$15,'Vendor Master'!$B$6:$B$15,""),"")</f>
        <v/>
      </c>
      <c r="J4239">
        <f>IF(A4239="","",TEXT(A4239,"mmm-yyyy"))</f>
        <v/>
      </c>
    </row>
    <row r="4240">
      <c r="D4240">
        <f>IFERROR(XLOOKUP(C4240,'Vendor Master'!$A$6:$A$15,'Vendor Master'!$B$6:$B$15,""),"")</f>
        <v/>
      </c>
      <c r="J4240">
        <f>IF(A4240="","",TEXT(A4240,"mmm-yyyy"))</f>
        <v/>
      </c>
    </row>
    <row r="4241">
      <c r="D4241">
        <f>IFERROR(XLOOKUP(C4241,'Vendor Master'!$A$6:$A$15,'Vendor Master'!$B$6:$B$15,""),"")</f>
        <v/>
      </c>
      <c r="J4241">
        <f>IF(A4241="","",TEXT(A4241,"mmm-yyyy"))</f>
        <v/>
      </c>
    </row>
    <row r="4242">
      <c r="D4242">
        <f>IFERROR(XLOOKUP(C4242,'Vendor Master'!$A$6:$A$15,'Vendor Master'!$B$6:$B$15,""),"")</f>
        <v/>
      </c>
      <c r="J4242">
        <f>IF(A4242="","",TEXT(A4242,"mmm-yyyy"))</f>
        <v/>
      </c>
    </row>
    <row r="4243">
      <c r="D4243">
        <f>IFERROR(XLOOKUP(C4243,'Vendor Master'!$A$6:$A$15,'Vendor Master'!$B$6:$B$15,""),"")</f>
        <v/>
      </c>
      <c r="J4243">
        <f>IF(A4243="","",TEXT(A4243,"mmm-yyyy"))</f>
        <v/>
      </c>
    </row>
    <row r="4244">
      <c r="D4244">
        <f>IFERROR(XLOOKUP(C4244,'Vendor Master'!$A$6:$A$15,'Vendor Master'!$B$6:$B$15,""),"")</f>
        <v/>
      </c>
      <c r="J4244">
        <f>IF(A4244="","",TEXT(A4244,"mmm-yyyy"))</f>
        <v/>
      </c>
    </row>
    <row r="4245">
      <c r="D4245">
        <f>IFERROR(XLOOKUP(C4245,'Vendor Master'!$A$6:$A$15,'Vendor Master'!$B$6:$B$15,""),"")</f>
        <v/>
      </c>
      <c r="J4245">
        <f>IF(A4245="","",TEXT(A4245,"mmm-yyyy"))</f>
        <v/>
      </c>
    </row>
    <row r="4246">
      <c r="D4246">
        <f>IFERROR(XLOOKUP(C4246,'Vendor Master'!$A$6:$A$15,'Vendor Master'!$B$6:$B$15,""),"")</f>
        <v/>
      </c>
      <c r="J4246">
        <f>IF(A4246="","",TEXT(A4246,"mmm-yyyy"))</f>
        <v/>
      </c>
    </row>
    <row r="4247">
      <c r="D4247">
        <f>IFERROR(XLOOKUP(C4247,'Vendor Master'!$A$6:$A$15,'Vendor Master'!$B$6:$B$15,""),"")</f>
        <v/>
      </c>
      <c r="J4247">
        <f>IF(A4247="","",TEXT(A4247,"mmm-yyyy"))</f>
        <v/>
      </c>
    </row>
    <row r="4248">
      <c r="D4248">
        <f>IFERROR(XLOOKUP(C4248,'Vendor Master'!$A$6:$A$15,'Vendor Master'!$B$6:$B$15,""),"")</f>
        <v/>
      </c>
      <c r="J4248">
        <f>IF(A4248="","",TEXT(A4248,"mmm-yyyy"))</f>
        <v/>
      </c>
    </row>
    <row r="4249">
      <c r="D4249">
        <f>IFERROR(XLOOKUP(C4249,'Vendor Master'!$A$6:$A$15,'Vendor Master'!$B$6:$B$15,""),"")</f>
        <v/>
      </c>
      <c r="J4249">
        <f>IF(A4249="","",TEXT(A4249,"mmm-yyyy"))</f>
        <v/>
      </c>
    </row>
    <row r="4250">
      <c r="D4250">
        <f>IFERROR(XLOOKUP(C4250,'Vendor Master'!$A$6:$A$15,'Vendor Master'!$B$6:$B$15,""),"")</f>
        <v/>
      </c>
      <c r="J4250">
        <f>IF(A4250="","",TEXT(A4250,"mmm-yyyy"))</f>
        <v/>
      </c>
    </row>
    <row r="4251">
      <c r="D4251">
        <f>IFERROR(XLOOKUP(C4251,'Vendor Master'!$A$6:$A$15,'Vendor Master'!$B$6:$B$15,""),"")</f>
        <v/>
      </c>
      <c r="J4251">
        <f>IF(A4251="","",TEXT(A4251,"mmm-yyyy"))</f>
        <v/>
      </c>
    </row>
    <row r="4252">
      <c r="D4252">
        <f>IFERROR(XLOOKUP(C4252,'Vendor Master'!$A$6:$A$15,'Vendor Master'!$B$6:$B$15,""),"")</f>
        <v/>
      </c>
      <c r="J4252">
        <f>IF(A4252="","",TEXT(A4252,"mmm-yyyy"))</f>
        <v/>
      </c>
    </row>
    <row r="4253">
      <c r="D4253">
        <f>IFERROR(XLOOKUP(C4253,'Vendor Master'!$A$6:$A$15,'Vendor Master'!$B$6:$B$15,""),"")</f>
        <v/>
      </c>
      <c r="J4253">
        <f>IF(A4253="","",TEXT(A4253,"mmm-yyyy"))</f>
        <v/>
      </c>
    </row>
    <row r="4254">
      <c r="D4254">
        <f>IFERROR(XLOOKUP(C4254,'Vendor Master'!$A$6:$A$15,'Vendor Master'!$B$6:$B$15,""),"")</f>
        <v/>
      </c>
      <c r="J4254">
        <f>IF(A4254="","",TEXT(A4254,"mmm-yyyy"))</f>
        <v/>
      </c>
    </row>
    <row r="4255">
      <c r="D4255">
        <f>IFERROR(XLOOKUP(C4255,'Vendor Master'!$A$6:$A$15,'Vendor Master'!$B$6:$B$15,""),"")</f>
        <v/>
      </c>
      <c r="J4255">
        <f>IF(A4255="","",TEXT(A4255,"mmm-yyyy"))</f>
        <v/>
      </c>
    </row>
    <row r="4256">
      <c r="D4256">
        <f>IFERROR(XLOOKUP(C4256,'Vendor Master'!$A$6:$A$15,'Vendor Master'!$B$6:$B$15,""),"")</f>
        <v/>
      </c>
      <c r="J4256">
        <f>IF(A4256="","",TEXT(A4256,"mmm-yyyy"))</f>
        <v/>
      </c>
    </row>
    <row r="4257">
      <c r="D4257">
        <f>IFERROR(XLOOKUP(C4257,'Vendor Master'!$A$6:$A$15,'Vendor Master'!$B$6:$B$15,""),"")</f>
        <v/>
      </c>
      <c r="J4257">
        <f>IF(A4257="","",TEXT(A4257,"mmm-yyyy"))</f>
        <v/>
      </c>
    </row>
    <row r="4258">
      <c r="D4258">
        <f>IFERROR(XLOOKUP(C4258,'Vendor Master'!$A$6:$A$15,'Vendor Master'!$B$6:$B$15,""),"")</f>
        <v/>
      </c>
      <c r="J4258">
        <f>IF(A4258="","",TEXT(A4258,"mmm-yyyy"))</f>
        <v/>
      </c>
    </row>
    <row r="4259">
      <c r="D4259">
        <f>IFERROR(XLOOKUP(C4259,'Vendor Master'!$A$6:$A$15,'Vendor Master'!$B$6:$B$15,""),"")</f>
        <v/>
      </c>
      <c r="J4259">
        <f>IF(A4259="","",TEXT(A4259,"mmm-yyyy"))</f>
        <v/>
      </c>
    </row>
    <row r="4260">
      <c r="D4260">
        <f>IFERROR(XLOOKUP(C4260,'Vendor Master'!$A$6:$A$15,'Vendor Master'!$B$6:$B$15,""),"")</f>
        <v/>
      </c>
      <c r="J4260">
        <f>IF(A4260="","",TEXT(A4260,"mmm-yyyy"))</f>
        <v/>
      </c>
    </row>
    <row r="4261">
      <c r="D4261">
        <f>IFERROR(XLOOKUP(C4261,'Vendor Master'!$A$6:$A$15,'Vendor Master'!$B$6:$B$15,""),"")</f>
        <v/>
      </c>
      <c r="J4261">
        <f>IF(A4261="","",TEXT(A4261,"mmm-yyyy"))</f>
        <v/>
      </c>
    </row>
    <row r="4262">
      <c r="D4262">
        <f>IFERROR(XLOOKUP(C4262,'Vendor Master'!$A$6:$A$15,'Vendor Master'!$B$6:$B$15,""),"")</f>
        <v/>
      </c>
      <c r="J4262">
        <f>IF(A4262="","",TEXT(A4262,"mmm-yyyy"))</f>
        <v/>
      </c>
    </row>
    <row r="4263">
      <c r="D4263">
        <f>IFERROR(XLOOKUP(C4263,'Vendor Master'!$A$6:$A$15,'Vendor Master'!$B$6:$B$15,""),"")</f>
        <v/>
      </c>
      <c r="J4263">
        <f>IF(A4263="","",TEXT(A4263,"mmm-yyyy"))</f>
        <v/>
      </c>
    </row>
    <row r="4264">
      <c r="D4264">
        <f>IFERROR(XLOOKUP(C4264,'Vendor Master'!$A$6:$A$15,'Vendor Master'!$B$6:$B$15,""),"")</f>
        <v/>
      </c>
      <c r="J4264">
        <f>IF(A4264="","",TEXT(A4264,"mmm-yyyy"))</f>
        <v/>
      </c>
    </row>
    <row r="4265">
      <c r="D4265">
        <f>IFERROR(XLOOKUP(C4265,'Vendor Master'!$A$6:$A$15,'Vendor Master'!$B$6:$B$15,""),"")</f>
        <v/>
      </c>
      <c r="J4265">
        <f>IF(A4265="","",TEXT(A4265,"mmm-yyyy"))</f>
        <v/>
      </c>
    </row>
    <row r="4266">
      <c r="D4266">
        <f>IFERROR(XLOOKUP(C4266,'Vendor Master'!$A$6:$A$15,'Vendor Master'!$B$6:$B$15,""),"")</f>
        <v/>
      </c>
      <c r="J4266">
        <f>IF(A4266="","",TEXT(A4266,"mmm-yyyy"))</f>
        <v/>
      </c>
    </row>
    <row r="4267">
      <c r="D4267">
        <f>IFERROR(XLOOKUP(C4267,'Vendor Master'!$A$6:$A$15,'Vendor Master'!$B$6:$B$15,""),"")</f>
        <v/>
      </c>
      <c r="J4267">
        <f>IF(A4267="","",TEXT(A4267,"mmm-yyyy"))</f>
        <v/>
      </c>
    </row>
    <row r="4268">
      <c r="D4268">
        <f>IFERROR(XLOOKUP(C4268,'Vendor Master'!$A$6:$A$15,'Vendor Master'!$B$6:$B$15,""),"")</f>
        <v/>
      </c>
      <c r="J4268">
        <f>IF(A4268="","",TEXT(A4268,"mmm-yyyy"))</f>
        <v/>
      </c>
    </row>
    <row r="4269">
      <c r="D4269">
        <f>IFERROR(XLOOKUP(C4269,'Vendor Master'!$A$6:$A$15,'Vendor Master'!$B$6:$B$15,""),"")</f>
        <v/>
      </c>
      <c r="J4269">
        <f>IF(A4269="","",TEXT(A4269,"mmm-yyyy"))</f>
        <v/>
      </c>
    </row>
    <row r="4270">
      <c r="D4270">
        <f>IFERROR(XLOOKUP(C4270,'Vendor Master'!$A$6:$A$15,'Vendor Master'!$B$6:$B$15,""),"")</f>
        <v/>
      </c>
      <c r="J4270">
        <f>IF(A4270="","",TEXT(A4270,"mmm-yyyy"))</f>
        <v/>
      </c>
    </row>
    <row r="4271">
      <c r="D4271">
        <f>IFERROR(XLOOKUP(C4271,'Vendor Master'!$A$6:$A$15,'Vendor Master'!$B$6:$B$15,""),"")</f>
        <v/>
      </c>
      <c r="J4271">
        <f>IF(A4271="","",TEXT(A4271,"mmm-yyyy"))</f>
        <v/>
      </c>
    </row>
    <row r="4272">
      <c r="D4272">
        <f>IFERROR(XLOOKUP(C4272,'Vendor Master'!$A$6:$A$15,'Vendor Master'!$B$6:$B$15,""),"")</f>
        <v/>
      </c>
      <c r="J4272">
        <f>IF(A4272="","",TEXT(A4272,"mmm-yyyy"))</f>
        <v/>
      </c>
    </row>
    <row r="4273">
      <c r="D4273">
        <f>IFERROR(XLOOKUP(C4273,'Vendor Master'!$A$6:$A$15,'Vendor Master'!$B$6:$B$15,""),"")</f>
        <v/>
      </c>
      <c r="J4273">
        <f>IF(A4273="","",TEXT(A4273,"mmm-yyyy"))</f>
        <v/>
      </c>
    </row>
    <row r="4274">
      <c r="D4274">
        <f>IFERROR(XLOOKUP(C4274,'Vendor Master'!$A$6:$A$15,'Vendor Master'!$B$6:$B$15,""),"")</f>
        <v/>
      </c>
      <c r="J4274">
        <f>IF(A4274="","",TEXT(A4274,"mmm-yyyy"))</f>
        <v/>
      </c>
    </row>
    <row r="4275">
      <c r="D4275">
        <f>IFERROR(XLOOKUP(C4275,'Vendor Master'!$A$6:$A$15,'Vendor Master'!$B$6:$B$15,""),"")</f>
        <v/>
      </c>
      <c r="J4275">
        <f>IF(A4275="","",TEXT(A4275,"mmm-yyyy"))</f>
        <v/>
      </c>
    </row>
    <row r="4276">
      <c r="D4276">
        <f>IFERROR(XLOOKUP(C4276,'Vendor Master'!$A$6:$A$15,'Vendor Master'!$B$6:$B$15,""),"")</f>
        <v/>
      </c>
      <c r="J4276">
        <f>IF(A4276="","",TEXT(A4276,"mmm-yyyy"))</f>
        <v/>
      </c>
    </row>
    <row r="4277">
      <c r="D4277">
        <f>IFERROR(XLOOKUP(C4277,'Vendor Master'!$A$6:$A$15,'Vendor Master'!$B$6:$B$15,""),"")</f>
        <v/>
      </c>
      <c r="J4277">
        <f>IF(A4277="","",TEXT(A4277,"mmm-yyyy"))</f>
        <v/>
      </c>
    </row>
    <row r="4278">
      <c r="D4278">
        <f>IFERROR(XLOOKUP(C4278,'Vendor Master'!$A$6:$A$15,'Vendor Master'!$B$6:$B$15,""),"")</f>
        <v/>
      </c>
      <c r="J4278">
        <f>IF(A4278="","",TEXT(A4278,"mmm-yyyy"))</f>
        <v/>
      </c>
    </row>
    <row r="4279">
      <c r="D4279">
        <f>IFERROR(XLOOKUP(C4279,'Vendor Master'!$A$6:$A$15,'Vendor Master'!$B$6:$B$15,""),"")</f>
        <v/>
      </c>
      <c r="J4279">
        <f>IF(A4279="","",TEXT(A4279,"mmm-yyyy"))</f>
        <v/>
      </c>
    </row>
    <row r="4280">
      <c r="D4280">
        <f>IFERROR(XLOOKUP(C4280,'Vendor Master'!$A$6:$A$15,'Vendor Master'!$B$6:$B$15,""),"")</f>
        <v/>
      </c>
      <c r="J4280">
        <f>IF(A4280="","",TEXT(A4280,"mmm-yyyy"))</f>
        <v/>
      </c>
    </row>
    <row r="4281">
      <c r="D4281">
        <f>IFERROR(XLOOKUP(C4281,'Vendor Master'!$A$6:$A$15,'Vendor Master'!$B$6:$B$15,""),"")</f>
        <v/>
      </c>
      <c r="J4281">
        <f>IF(A4281="","",TEXT(A4281,"mmm-yyyy"))</f>
        <v/>
      </c>
    </row>
    <row r="4282">
      <c r="D4282">
        <f>IFERROR(XLOOKUP(C4282,'Vendor Master'!$A$6:$A$15,'Vendor Master'!$B$6:$B$15,""),"")</f>
        <v/>
      </c>
      <c r="J4282">
        <f>IF(A4282="","",TEXT(A4282,"mmm-yyyy"))</f>
        <v/>
      </c>
    </row>
    <row r="4283">
      <c r="D4283">
        <f>IFERROR(XLOOKUP(C4283,'Vendor Master'!$A$6:$A$15,'Vendor Master'!$B$6:$B$15,""),"")</f>
        <v/>
      </c>
      <c r="J4283">
        <f>IF(A4283="","",TEXT(A4283,"mmm-yyyy"))</f>
        <v/>
      </c>
    </row>
    <row r="4284">
      <c r="D4284">
        <f>IFERROR(XLOOKUP(C4284,'Vendor Master'!$A$6:$A$15,'Vendor Master'!$B$6:$B$15,""),"")</f>
        <v/>
      </c>
      <c r="J4284">
        <f>IF(A4284="","",TEXT(A4284,"mmm-yyyy"))</f>
        <v/>
      </c>
    </row>
    <row r="4285">
      <c r="D4285">
        <f>IFERROR(XLOOKUP(C4285,'Vendor Master'!$A$6:$A$15,'Vendor Master'!$B$6:$B$15,""),"")</f>
        <v/>
      </c>
      <c r="J4285">
        <f>IF(A4285="","",TEXT(A4285,"mmm-yyyy"))</f>
        <v/>
      </c>
    </row>
    <row r="4286">
      <c r="D4286">
        <f>IFERROR(XLOOKUP(C4286,'Vendor Master'!$A$6:$A$15,'Vendor Master'!$B$6:$B$15,""),"")</f>
        <v/>
      </c>
      <c r="J4286">
        <f>IF(A4286="","",TEXT(A4286,"mmm-yyyy"))</f>
        <v/>
      </c>
    </row>
    <row r="4287">
      <c r="D4287">
        <f>IFERROR(XLOOKUP(C4287,'Vendor Master'!$A$6:$A$15,'Vendor Master'!$B$6:$B$15,""),"")</f>
        <v/>
      </c>
      <c r="J4287">
        <f>IF(A4287="","",TEXT(A4287,"mmm-yyyy"))</f>
        <v/>
      </c>
    </row>
    <row r="4288">
      <c r="D4288">
        <f>IFERROR(XLOOKUP(C4288,'Vendor Master'!$A$6:$A$15,'Vendor Master'!$B$6:$B$15,""),"")</f>
        <v/>
      </c>
      <c r="J4288">
        <f>IF(A4288="","",TEXT(A4288,"mmm-yyyy"))</f>
        <v/>
      </c>
    </row>
    <row r="4289">
      <c r="D4289">
        <f>IFERROR(XLOOKUP(C4289,'Vendor Master'!$A$6:$A$15,'Vendor Master'!$B$6:$B$15,""),"")</f>
        <v/>
      </c>
      <c r="J4289">
        <f>IF(A4289="","",TEXT(A4289,"mmm-yyyy"))</f>
        <v/>
      </c>
    </row>
    <row r="4290">
      <c r="D4290">
        <f>IFERROR(XLOOKUP(C4290,'Vendor Master'!$A$6:$A$15,'Vendor Master'!$B$6:$B$15,""),"")</f>
        <v/>
      </c>
      <c r="J4290">
        <f>IF(A4290="","",TEXT(A4290,"mmm-yyyy"))</f>
        <v/>
      </c>
    </row>
    <row r="4291">
      <c r="D4291">
        <f>IFERROR(XLOOKUP(C4291,'Vendor Master'!$A$6:$A$15,'Vendor Master'!$B$6:$B$15,""),"")</f>
        <v/>
      </c>
      <c r="J4291">
        <f>IF(A4291="","",TEXT(A4291,"mmm-yyyy"))</f>
        <v/>
      </c>
    </row>
    <row r="4292">
      <c r="D4292">
        <f>IFERROR(XLOOKUP(C4292,'Vendor Master'!$A$6:$A$15,'Vendor Master'!$B$6:$B$15,""),"")</f>
        <v/>
      </c>
      <c r="J4292">
        <f>IF(A4292="","",TEXT(A4292,"mmm-yyyy"))</f>
        <v/>
      </c>
    </row>
    <row r="4293">
      <c r="D4293">
        <f>IFERROR(XLOOKUP(C4293,'Vendor Master'!$A$6:$A$15,'Vendor Master'!$B$6:$B$15,""),"")</f>
        <v/>
      </c>
      <c r="J4293">
        <f>IF(A4293="","",TEXT(A4293,"mmm-yyyy"))</f>
        <v/>
      </c>
    </row>
    <row r="4294">
      <c r="D4294">
        <f>IFERROR(XLOOKUP(C4294,'Vendor Master'!$A$6:$A$15,'Vendor Master'!$B$6:$B$15,""),"")</f>
        <v/>
      </c>
      <c r="J4294">
        <f>IF(A4294="","",TEXT(A4294,"mmm-yyyy"))</f>
        <v/>
      </c>
    </row>
    <row r="4295">
      <c r="D4295">
        <f>IFERROR(XLOOKUP(C4295,'Vendor Master'!$A$6:$A$15,'Vendor Master'!$B$6:$B$15,""),"")</f>
        <v/>
      </c>
      <c r="J4295">
        <f>IF(A4295="","",TEXT(A4295,"mmm-yyyy"))</f>
        <v/>
      </c>
    </row>
    <row r="4296">
      <c r="D4296">
        <f>IFERROR(XLOOKUP(C4296,'Vendor Master'!$A$6:$A$15,'Vendor Master'!$B$6:$B$15,""),"")</f>
        <v/>
      </c>
      <c r="J4296">
        <f>IF(A4296="","",TEXT(A4296,"mmm-yyyy"))</f>
        <v/>
      </c>
    </row>
    <row r="4297">
      <c r="D4297">
        <f>IFERROR(XLOOKUP(C4297,'Vendor Master'!$A$6:$A$15,'Vendor Master'!$B$6:$B$15,""),"")</f>
        <v/>
      </c>
      <c r="J4297">
        <f>IF(A4297="","",TEXT(A4297,"mmm-yyyy"))</f>
        <v/>
      </c>
    </row>
    <row r="4298">
      <c r="D4298">
        <f>IFERROR(XLOOKUP(C4298,'Vendor Master'!$A$6:$A$15,'Vendor Master'!$B$6:$B$15,""),"")</f>
        <v/>
      </c>
      <c r="J4298">
        <f>IF(A4298="","",TEXT(A4298,"mmm-yyyy"))</f>
        <v/>
      </c>
    </row>
    <row r="4299">
      <c r="D4299">
        <f>IFERROR(XLOOKUP(C4299,'Vendor Master'!$A$6:$A$15,'Vendor Master'!$B$6:$B$15,""),"")</f>
        <v/>
      </c>
      <c r="J4299">
        <f>IF(A4299="","",TEXT(A4299,"mmm-yyyy"))</f>
        <v/>
      </c>
    </row>
    <row r="4300">
      <c r="D4300">
        <f>IFERROR(XLOOKUP(C4300,'Vendor Master'!$A$6:$A$15,'Vendor Master'!$B$6:$B$15,""),"")</f>
        <v/>
      </c>
      <c r="J4300">
        <f>IF(A4300="","",TEXT(A4300,"mmm-yyyy"))</f>
        <v/>
      </c>
    </row>
    <row r="4301">
      <c r="D4301">
        <f>IFERROR(XLOOKUP(C4301,'Vendor Master'!$A$6:$A$15,'Vendor Master'!$B$6:$B$15,""),"")</f>
        <v/>
      </c>
      <c r="J4301">
        <f>IF(A4301="","",TEXT(A4301,"mmm-yyyy"))</f>
        <v/>
      </c>
    </row>
    <row r="4302">
      <c r="D4302">
        <f>IFERROR(XLOOKUP(C4302,'Vendor Master'!$A$6:$A$15,'Vendor Master'!$B$6:$B$15,""),"")</f>
        <v/>
      </c>
      <c r="J4302">
        <f>IF(A4302="","",TEXT(A4302,"mmm-yyyy"))</f>
        <v/>
      </c>
    </row>
    <row r="4303">
      <c r="D4303">
        <f>IFERROR(XLOOKUP(C4303,'Vendor Master'!$A$6:$A$15,'Vendor Master'!$B$6:$B$15,""),"")</f>
        <v/>
      </c>
      <c r="J4303">
        <f>IF(A4303="","",TEXT(A4303,"mmm-yyyy"))</f>
        <v/>
      </c>
    </row>
    <row r="4304">
      <c r="D4304">
        <f>IFERROR(XLOOKUP(C4304,'Vendor Master'!$A$6:$A$15,'Vendor Master'!$B$6:$B$15,""),"")</f>
        <v/>
      </c>
      <c r="J4304">
        <f>IF(A4304="","",TEXT(A4304,"mmm-yyyy"))</f>
        <v/>
      </c>
    </row>
    <row r="4305">
      <c r="D4305">
        <f>IFERROR(XLOOKUP(C4305,'Vendor Master'!$A$6:$A$15,'Vendor Master'!$B$6:$B$15,""),"")</f>
        <v/>
      </c>
      <c r="J4305">
        <f>IF(A4305="","",TEXT(A4305,"mmm-yyyy"))</f>
        <v/>
      </c>
    </row>
    <row r="4306">
      <c r="D4306">
        <f>IFERROR(XLOOKUP(C4306,'Vendor Master'!$A$6:$A$15,'Vendor Master'!$B$6:$B$15,""),"")</f>
        <v/>
      </c>
      <c r="J4306">
        <f>IF(A4306="","",TEXT(A4306,"mmm-yyyy"))</f>
        <v/>
      </c>
    </row>
    <row r="4307">
      <c r="D4307">
        <f>IFERROR(XLOOKUP(C4307,'Vendor Master'!$A$6:$A$15,'Vendor Master'!$B$6:$B$15,""),"")</f>
        <v/>
      </c>
      <c r="J4307">
        <f>IF(A4307="","",TEXT(A4307,"mmm-yyyy"))</f>
        <v/>
      </c>
    </row>
    <row r="4308">
      <c r="D4308">
        <f>IFERROR(XLOOKUP(C4308,'Vendor Master'!$A$6:$A$15,'Vendor Master'!$B$6:$B$15,""),"")</f>
        <v/>
      </c>
      <c r="J4308">
        <f>IF(A4308="","",TEXT(A4308,"mmm-yyyy"))</f>
        <v/>
      </c>
    </row>
    <row r="4309">
      <c r="D4309">
        <f>IFERROR(XLOOKUP(C4309,'Vendor Master'!$A$6:$A$15,'Vendor Master'!$B$6:$B$15,""),"")</f>
        <v/>
      </c>
      <c r="J4309">
        <f>IF(A4309="","",TEXT(A4309,"mmm-yyyy"))</f>
        <v/>
      </c>
    </row>
    <row r="4310">
      <c r="D4310">
        <f>IFERROR(XLOOKUP(C4310,'Vendor Master'!$A$6:$A$15,'Vendor Master'!$B$6:$B$15,""),"")</f>
        <v/>
      </c>
      <c r="J4310">
        <f>IF(A4310="","",TEXT(A4310,"mmm-yyyy"))</f>
        <v/>
      </c>
    </row>
    <row r="4311">
      <c r="D4311">
        <f>IFERROR(XLOOKUP(C4311,'Vendor Master'!$A$6:$A$15,'Vendor Master'!$B$6:$B$15,""),"")</f>
        <v/>
      </c>
      <c r="J4311">
        <f>IF(A4311="","",TEXT(A4311,"mmm-yyyy"))</f>
        <v/>
      </c>
    </row>
    <row r="4312">
      <c r="D4312">
        <f>IFERROR(XLOOKUP(C4312,'Vendor Master'!$A$6:$A$15,'Vendor Master'!$B$6:$B$15,""),"")</f>
        <v/>
      </c>
      <c r="J4312">
        <f>IF(A4312="","",TEXT(A4312,"mmm-yyyy"))</f>
        <v/>
      </c>
    </row>
    <row r="4313">
      <c r="D4313">
        <f>IFERROR(XLOOKUP(C4313,'Vendor Master'!$A$6:$A$15,'Vendor Master'!$B$6:$B$15,""),"")</f>
        <v/>
      </c>
      <c r="J4313">
        <f>IF(A4313="","",TEXT(A4313,"mmm-yyyy"))</f>
        <v/>
      </c>
    </row>
    <row r="4314">
      <c r="D4314">
        <f>IFERROR(XLOOKUP(C4314,'Vendor Master'!$A$6:$A$15,'Vendor Master'!$B$6:$B$15,""),"")</f>
        <v/>
      </c>
      <c r="J4314">
        <f>IF(A4314="","",TEXT(A4314,"mmm-yyyy"))</f>
        <v/>
      </c>
    </row>
    <row r="4315">
      <c r="D4315">
        <f>IFERROR(XLOOKUP(C4315,'Vendor Master'!$A$6:$A$15,'Vendor Master'!$B$6:$B$15,""),"")</f>
        <v/>
      </c>
      <c r="J4315">
        <f>IF(A4315="","",TEXT(A4315,"mmm-yyyy"))</f>
        <v/>
      </c>
    </row>
    <row r="4316">
      <c r="D4316">
        <f>IFERROR(XLOOKUP(C4316,'Vendor Master'!$A$6:$A$15,'Vendor Master'!$B$6:$B$15,""),"")</f>
        <v/>
      </c>
      <c r="J4316">
        <f>IF(A4316="","",TEXT(A4316,"mmm-yyyy"))</f>
        <v/>
      </c>
    </row>
    <row r="4317">
      <c r="D4317">
        <f>IFERROR(XLOOKUP(C4317,'Vendor Master'!$A$6:$A$15,'Vendor Master'!$B$6:$B$15,""),"")</f>
        <v/>
      </c>
      <c r="J4317">
        <f>IF(A4317="","",TEXT(A4317,"mmm-yyyy"))</f>
        <v/>
      </c>
    </row>
    <row r="4318">
      <c r="D4318">
        <f>IFERROR(XLOOKUP(C4318,'Vendor Master'!$A$6:$A$15,'Vendor Master'!$B$6:$B$15,""),"")</f>
        <v/>
      </c>
      <c r="J4318">
        <f>IF(A4318="","",TEXT(A4318,"mmm-yyyy"))</f>
        <v/>
      </c>
    </row>
    <row r="4319">
      <c r="D4319">
        <f>IFERROR(XLOOKUP(C4319,'Vendor Master'!$A$6:$A$15,'Vendor Master'!$B$6:$B$15,""),"")</f>
        <v/>
      </c>
      <c r="J4319">
        <f>IF(A4319="","",TEXT(A4319,"mmm-yyyy"))</f>
        <v/>
      </c>
    </row>
    <row r="4320">
      <c r="D4320">
        <f>IFERROR(XLOOKUP(C4320,'Vendor Master'!$A$6:$A$15,'Vendor Master'!$B$6:$B$15,""),"")</f>
        <v/>
      </c>
      <c r="J4320">
        <f>IF(A4320="","",TEXT(A4320,"mmm-yyyy"))</f>
        <v/>
      </c>
    </row>
    <row r="4321">
      <c r="D4321">
        <f>IFERROR(XLOOKUP(C4321,'Vendor Master'!$A$6:$A$15,'Vendor Master'!$B$6:$B$15,""),"")</f>
        <v/>
      </c>
      <c r="J4321">
        <f>IF(A4321="","",TEXT(A4321,"mmm-yyyy"))</f>
        <v/>
      </c>
    </row>
    <row r="4322">
      <c r="D4322">
        <f>IFERROR(XLOOKUP(C4322,'Vendor Master'!$A$6:$A$15,'Vendor Master'!$B$6:$B$15,""),"")</f>
        <v/>
      </c>
      <c r="J4322">
        <f>IF(A4322="","",TEXT(A4322,"mmm-yyyy"))</f>
        <v/>
      </c>
    </row>
    <row r="4323">
      <c r="D4323">
        <f>IFERROR(XLOOKUP(C4323,'Vendor Master'!$A$6:$A$15,'Vendor Master'!$B$6:$B$15,""),"")</f>
        <v/>
      </c>
      <c r="J4323">
        <f>IF(A4323="","",TEXT(A4323,"mmm-yyyy"))</f>
        <v/>
      </c>
    </row>
    <row r="4324">
      <c r="D4324">
        <f>IFERROR(XLOOKUP(C4324,'Vendor Master'!$A$6:$A$15,'Vendor Master'!$B$6:$B$15,""),"")</f>
        <v/>
      </c>
      <c r="J4324">
        <f>IF(A4324="","",TEXT(A4324,"mmm-yyyy"))</f>
        <v/>
      </c>
    </row>
    <row r="4325">
      <c r="D4325">
        <f>IFERROR(XLOOKUP(C4325,'Vendor Master'!$A$6:$A$15,'Vendor Master'!$B$6:$B$15,""),"")</f>
        <v/>
      </c>
      <c r="J4325">
        <f>IF(A4325="","",TEXT(A4325,"mmm-yyyy"))</f>
        <v/>
      </c>
    </row>
    <row r="4326">
      <c r="D4326">
        <f>IFERROR(XLOOKUP(C4326,'Vendor Master'!$A$6:$A$15,'Vendor Master'!$B$6:$B$15,""),"")</f>
        <v/>
      </c>
      <c r="J4326">
        <f>IF(A4326="","",TEXT(A4326,"mmm-yyyy"))</f>
        <v/>
      </c>
    </row>
    <row r="4327">
      <c r="D4327">
        <f>IFERROR(XLOOKUP(C4327,'Vendor Master'!$A$6:$A$15,'Vendor Master'!$B$6:$B$15,""),"")</f>
        <v/>
      </c>
      <c r="J4327">
        <f>IF(A4327="","",TEXT(A4327,"mmm-yyyy"))</f>
        <v/>
      </c>
    </row>
    <row r="4328">
      <c r="D4328">
        <f>IFERROR(XLOOKUP(C4328,'Vendor Master'!$A$6:$A$15,'Vendor Master'!$B$6:$B$15,""),"")</f>
        <v/>
      </c>
      <c r="J4328">
        <f>IF(A4328="","",TEXT(A4328,"mmm-yyyy"))</f>
        <v/>
      </c>
    </row>
    <row r="4329">
      <c r="D4329">
        <f>IFERROR(XLOOKUP(C4329,'Vendor Master'!$A$6:$A$15,'Vendor Master'!$B$6:$B$15,""),"")</f>
        <v/>
      </c>
      <c r="J4329">
        <f>IF(A4329="","",TEXT(A4329,"mmm-yyyy"))</f>
        <v/>
      </c>
    </row>
    <row r="4330">
      <c r="D4330">
        <f>IFERROR(XLOOKUP(C4330,'Vendor Master'!$A$6:$A$15,'Vendor Master'!$B$6:$B$15,""),"")</f>
        <v/>
      </c>
      <c r="J4330">
        <f>IF(A4330="","",TEXT(A4330,"mmm-yyyy"))</f>
        <v/>
      </c>
    </row>
    <row r="4331">
      <c r="D4331">
        <f>IFERROR(XLOOKUP(C4331,'Vendor Master'!$A$6:$A$15,'Vendor Master'!$B$6:$B$15,""),"")</f>
        <v/>
      </c>
      <c r="J4331">
        <f>IF(A4331="","",TEXT(A4331,"mmm-yyyy"))</f>
        <v/>
      </c>
    </row>
    <row r="4332">
      <c r="D4332">
        <f>IFERROR(XLOOKUP(C4332,'Vendor Master'!$A$6:$A$15,'Vendor Master'!$B$6:$B$15,""),"")</f>
        <v/>
      </c>
      <c r="J4332">
        <f>IF(A4332="","",TEXT(A4332,"mmm-yyyy"))</f>
        <v/>
      </c>
    </row>
    <row r="4333">
      <c r="D4333">
        <f>IFERROR(XLOOKUP(C4333,'Vendor Master'!$A$6:$A$15,'Vendor Master'!$B$6:$B$15,""),"")</f>
        <v/>
      </c>
      <c r="J4333">
        <f>IF(A4333="","",TEXT(A4333,"mmm-yyyy"))</f>
        <v/>
      </c>
    </row>
    <row r="4334">
      <c r="D4334">
        <f>IFERROR(XLOOKUP(C4334,'Vendor Master'!$A$6:$A$15,'Vendor Master'!$B$6:$B$15,""),"")</f>
        <v/>
      </c>
      <c r="J4334">
        <f>IF(A4334="","",TEXT(A4334,"mmm-yyyy"))</f>
        <v/>
      </c>
    </row>
    <row r="4335">
      <c r="D4335">
        <f>IFERROR(XLOOKUP(C4335,'Vendor Master'!$A$6:$A$15,'Vendor Master'!$B$6:$B$15,""),"")</f>
        <v/>
      </c>
      <c r="J4335">
        <f>IF(A4335="","",TEXT(A4335,"mmm-yyyy"))</f>
        <v/>
      </c>
    </row>
    <row r="4336">
      <c r="D4336">
        <f>IFERROR(XLOOKUP(C4336,'Vendor Master'!$A$6:$A$15,'Vendor Master'!$B$6:$B$15,""),"")</f>
        <v/>
      </c>
      <c r="J4336">
        <f>IF(A4336="","",TEXT(A4336,"mmm-yyyy"))</f>
        <v/>
      </c>
    </row>
    <row r="4337">
      <c r="D4337">
        <f>IFERROR(XLOOKUP(C4337,'Vendor Master'!$A$6:$A$15,'Vendor Master'!$B$6:$B$15,""),"")</f>
        <v/>
      </c>
      <c r="J4337">
        <f>IF(A4337="","",TEXT(A4337,"mmm-yyyy"))</f>
        <v/>
      </c>
    </row>
    <row r="4338">
      <c r="D4338">
        <f>IFERROR(XLOOKUP(C4338,'Vendor Master'!$A$6:$A$15,'Vendor Master'!$B$6:$B$15,""),"")</f>
        <v/>
      </c>
      <c r="J4338">
        <f>IF(A4338="","",TEXT(A4338,"mmm-yyyy"))</f>
        <v/>
      </c>
    </row>
    <row r="4339">
      <c r="D4339">
        <f>IFERROR(XLOOKUP(C4339,'Vendor Master'!$A$6:$A$15,'Vendor Master'!$B$6:$B$15,""),"")</f>
        <v/>
      </c>
      <c r="J4339">
        <f>IF(A4339="","",TEXT(A4339,"mmm-yyyy"))</f>
        <v/>
      </c>
    </row>
    <row r="4340">
      <c r="D4340">
        <f>IFERROR(XLOOKUP(C4340,'Vendor Master'!$A$6:$A$15,'Vendor Master'!$B$6:$B$15,""),"")</f>
        <v/>
      </c>
      <c r="J4340">
        <f>IF(A4340="","",TEXT(A4340,"mmm-yyyy"))</f>
        <v/>
      </c>
    </row>
    <row r="4341">
      <c r="D4341">
        <f>IFERROR(XLOOKUP(C4341,'Vendor Master'!$A$6:$A$15,'Vendor Master'!$B$6:$B$15,""),"")</f>
        <v/>
      </c>
      <c r="J4341">
        <f>IF(A4341="","",TEXT(A4341,"mmm-yyyy"))</f>
        <v/>
      </c>
    </row>
    <row r="4342">
      <c r="D4342">
        <f>IFERROR(XLOOKUP(C4342,'Vendor Master'!$A$6:$A$15,'Vendor Master'!$B$6:$B$15,""),"")</f>
        <v/>
      </c>
      <c r="J4342">
        <f>IF(A4342="","",TEXT(A4342,"mmm-yyyy"))</f>
        <v/>
      </c>
    </row>
    <row r="4343">
      <c r="D4343">
        <f>IFERROR(XLOOKUP(C4343,'Vendor Master'!$A$6:$A$15,'Vendor Master'!$B$6:$B$15,""),"")</f>
        <v/>
      </c>
      <c r="J4343">
        <f>IF(A4343="","",TEXT(A4343,"mmm-yyyy"))</f>
        <v/>
      </c>
    </row>
    <row r="4344">
      <c r="D4344">
        <f>IFERROR(XLOOKUP(C4344,'Vendor Master'!$A$6:$A$15,'Vendor Master'!$B$6:$B$15,""),"")</f>
        <v/>
      </c>
      <c r="J4344">
        <f>IF(A4344="","",TEXT(A4344,"mmm-yyyy"))</f>
        <v/>
      </c>
    </row>
    <row r="4345">
      <c r="D4345">
        <f>IFERROR(XLOOKUP(C4345,'Vendor Master'!$A$6:$A$15,'Vendor Master'!$B$6:$B$15,""),"")</f>
        <v/>
      </c>
      <c r="J4345">
        <f>IF(A4345="","",TEXT(A4345,"mmm-yyyy"))</f>
        <v/>
      </c>
    </row>
    <row r="4346">
      <c r="D4346">
        <f>IFERROR(XLOOKUP(C4346,'Vendor Master'!$A$6:$A$15,'Vendor Master'!$B$6:$B$15,""),"")</f>
        <v/>
      </c>
      <c r="J4346">
        <f>IF(A4346="","",TEXT(A4346,"mmm-yyyy"))</f>
        <v/>
      </c>
    </row>
    <row r="4347">
      <c r="D4347">
        <f>IFERROR(XLOOKUP(C4347,'Vendor Master'!$A$6:$A$15,'Vendor Master'!$B$6:$B$15,""),"")</f>
        <v/>
      </c>
      <c r="J4347">
        <f>IF(A4347="","",TEXT(A4347,"mmm-yyyy"))</f>
        <v/>
      </c>
    </row>
    <row r="4348">
      <c r="D4348">
        <f>IFERROR(XLOOKUP(C4348,'Vendor Master'!$A$6:$A$15,'Vendor Master'!$B$6:$B$15,""),"")</f>
        <v/>
      </c>
      <c r="J4348">
        <f>IF(A4348="","",TEXT(A4348,"mmm-yyyy"))</f>
        <v/>
      </c>
    </row>
    <row r="4349">
      <c r="D4349">
        <f>IFERROR(XLOOKUP(C4349,'Vendor Master'!$A$6:$A$15,'Vendor Master'!$B$6:$B$15,""),"")</f>
        <v/>
      </c>
      <c r="J4349">
        <f>IF(A4349="","",TEXT(A4349,"mmm-yyyy"))</f>
        <v/>
      </c>
    </row>
    <row r="4350">
      <c r="D4350">
        <f>IFERROR(XLOOKUP(C4350,'Vendor Master'!$A$6:$A$15,'Vendor Master'!$B$6:$B$15,""),"")</f>
        <v/>
      </c>
      <c r="J4350">
        <f>IF(A4350="","",TEXT(A4350,"mmm-yyyy"))</f>
        <v/>
      </c>
    </row>
    <row r="4351">
      <c r="D4351">
        <f>IFERROR(XLOOKUP(C4351,'Vendor Master'!$A$6:$A$15,'Vendor Master'!$B$6:$B$15,""),"")</f>
        <v/>
      </c>
      <c r="J4351">
        <f>IF(A4351="","",TEXT(A4351,"mmm-yyyy"))</f>
        <v/>
      </c>
    </row>
    <row r="4352">
      <c r="D4352">
        <f>IFERROR(XLOOKUP(C4352,'Vendor Master'!$A$6:$A$15,'Vendor Master'!$B$6:$B$15,""),"")</f>
        <v/>
      </c>
      <c r="J4352">
        <f>IF(A4352="","",TEXT(A4352,"mmm-yyyy"))</f>
        <v/>
      </c>
    </row>
    <row r="4353">
      <c r="D4353">
        <f>IFERROR(XLOOKUP(C4353,'Vendor Master'!$A$6:$A$15,'Vendor Master'!$B$6:$B$15,""),"")</f>
        <v/>
      </c>
      <c r="J4353">
        <f>IF(A4353="","",TEXT(A4353,"mmm-yyyy"))</f>
        <v/>
      </c>
    </row>
    <row r="4354">
      <c r="D4354">
        <f>IFERROR(XLOOKUP(C4354,'Vendor Master'!$A$6:$A$15,'Vendor Master'!$B$6:$B$15,""),"")</f>
        <v/>
      </c>
      <c r="J4354">
        <f>IF(A4354="","",TEXT(A4354,"mmm-yyyy"))</f>
        <v/>
      </c>
    </row>
    <row r="4355">
      <c r="D4355">
        <f>IFERROR(XLOOKUP(C4355,'Vendor Master'!$A$6:$A$15,'Vendor Master'!$B$6:$B$15,""),"")</f>
        <v/>
      </c>
      <c r="J4355">
        <f>IF(A4355="","",TEXT(A4355,"mmm-yyyy"))</f>
        <v/>
      </c>
    </row>
    <row r="4356">
      <c r="D4356">
        <f>IFERROR(XLOOKUP(C4356,'Vendor Master'!$A$6:$A$15,'Vendor Master'!$B$6:$B$15,""),"")</f>
        <v/>
      </c>
      <c r="J4356">
        <f>IF(A4356="","",TEXT(A4356,"mmm-yyyy"))</f>
        <v/>
      </c>
    </row>
    <row r="4357">
      <c r="D4357">
        <f>IFERROR(XLOOKUP(C4357,'Vendor Master'!$A$6:$A$15,'Vendor Master'!$B$6:$B$15,""),"")</f>
        <v/>
      </c>
      <c r="J4357">
        <f>IF(A4357="","",TEXT(A4357,"mmm-yyyy"))</f>
        <v/>
      </c>
    </row>
    <row r="4358">
      <c r="D4358">
        <f>IFERROR(XLOOKUP(C4358,'Vendor Master'!$A$6:$A$15,'Vendor Master'!$B$6:$B$15,""),"")</f>
        <v/>
      </c>
      <c r="J4358">
        <f>IF(A4358="","",TEXT(A4358,"mmm-yyyy"))</f>
        <v/>
      </c>
    </row>
    <row r="4359">
      <c r="D4359">
        <f>IFERROR(XLOOKUP(C4359,'Vendor Master'!$A$6:$A$15,'Vendor Master'!$B$6:$B$15,""),"")</f>
        <v/>
      </c>
      <c r="J4359">
        <f>IF(A4359="","",TEXT(A4359,"mmm-yyyy"))</f>
        <v/>
      </c>
    </row>
    <row r="4360">
      <c r="D4360">
        <f>IFERROR(XLOOKUP(C4360,'Vendor Master'!$A$6:$A$15,'Vendor Master'!$B$6:$B$15,""),"")</f>
        <v/>
      </c>
      <c r="J4360">
        <f>IF(A4360="","",TEXT(A4360,"mmm-yyyy"))</f>
        <v/>
      </c>
    </row>
    <row r="4361">
      <c r="D4361">
        <f>IFERROR(XLOOKUP(C4361,'Vendor Master'!$A$6:$A$15,'Vendor Master'!$B$6:$B$15,""),"")</f>
        <v/>
      </c>
      <c r="J4361">
        <f>IF(A4361="","",TEXT(A4361,"mmm-yyyy"))</f>
        <v/>
      </c>
    </row>
    <row r="4362">
      <c r="D4362">
        <f>IFERROR(XLOOKUP(C4362,'Vendor Master'!$A$6:$A$15,'Vendor Master'!$B$6:$B$15,""),"")</f>
        <v/>
      </c>
      <c r="J4362">
        <f>IF(A4362="","",TEXT(A4362,"mmm-yyyy"))</f>
        <v/>
      </c>
    </row>
    <row r="4363">
      <c r="D4363">
        <f>IFERROR(XLOOKUP(C4363,'Vendor Master'!$A$6:$A$15,'Vendor Master'!$B$6:$B$15,""),"")</f>
        <v/>
      </c>
      <c r="J4363">
        <f>IF(A4363="","",TEXT(A4363,"mmm-yyyy"))</f>
        <v/>
      </c>
    </row>
    <row r="4364">
      <c r="D4364">
        <f>IFERROR(XLOOKUP(C4364,'Vendor Master'!$A$6:$A$15,'Vendor Master'!$B$6:$B$15,""),"")</f>
        <v/>
      </c>
      <c r="J4364">
        <f>IF(A4364="","",TEXT(A4364,"mmm-yyyy"))</f>
        <v/>
      </c>
    </row>
    <row r="4365">
      <c r="D4365">
        <f>IFERROR(XLOOKUP(C4365,'Vendor Master'!$A$6:$A$15,'Vendor Master'!$B$6:$B$15,""),"")</f>
        <v/>
      </c>
      <c r="J4365">
        <f>IF(A4365="","",TEXT(A4365,"mmm-yyyy"))</f>
        <v/>
      </c>
    </row>
    <row r="4366">
      <c r="D4366">
        <f>IFERROR(XLOOKUP(C4366,'Vendor Master'!$A$6:$A$15,'Vendor Master'!$B$6:$B$15,""),"")</f>
        <v/>
      </c>
      <c r="J4366">
        <f>IF(A4366="","",TEXT(A4366,"mmm-yyyy"))</f>
        <v/>
      </c>
    </row>
    <row r="4367">
      <c r="D4367">
        <f>IFERROR(XLOOKUP(C4367,'Vendor Master'!$A$6:$A$15,'Vendor Master'!$B$6:$B$15,""),"")</f>
        <v/>
      </c>
      <c r="J4367">
        <f>IF(A4367="","",TEXT(A4367,"mmm-yyyy"))</f>
        <v/>
      </c>
    </row>
    <row r="4368">
      <c r="D4368">
        <f>IFERROR(XLOOKUP(C4368,'Vendor Master'!$A$6:$A$15,'Vendor Master'!$B$6:$B$15,""),"")</f>
        <v/>
      </c>
      <c r="J4368">
        <f>IF(A4368="","",TEXT(A4368,"mmm-yyyy"))</f>
        <v/>
      </c>
    </row>
    <row r="4369">
      <c r="D4369">
        <f>IFERROR(XLOOKUP(C4369,'Vendor Master'!$A$6:$A$15,'Vendor Master'!$B$6:$B$15,""),"")</f>
        <v/>
      </c>
      <c r="J4369">
        <f>IF(A4369="","",TEXT(A4369,"mmm-yyyy"))</f>
        <v/>
      </c>
    </row>
    <row r="4370">
      <c r="D4370">
        <f>IFERROR(XLOOKUP(C4370,'Vendor Master'!$A$6:$A$15,'Vendor Master'!$B$6:$B$15,""),"")</f>
        <v/>
      </c>
      <c r="J4370">
        <f>IF(A4370="","",TEXT(A4370,"mmm-yyyy"))</f>
        <v/>
      </c>
    </row>
    <row r="4371">
      <c r="D4371">
        <f>IFERROR(XLOOKUP(C4371,'Vendor Master'!$A$6:$A$15,'Vendor Master'!$B$6:$B$15,""),"")</f>
        <v/>
      </c>
      <c r="J4371">
        <f>IF(A4371="","",TEXT(A4371,"mmm-yyyy"))</f>
        <v/>
      </c>
    </row>
    <row r="4372">
      <c r="D4372">
        <f>IFERROR(XLOOKUP(C4372,'Vendor Master'!$A$6:$A$15,'Vendor Master'!$B$6:$B$15,""),"")</f>
        <v/>
      </c>
      <c r="J4372">
        <f>IF(A4372="","",TEXT(A4372,"mmm-yyyy"))</f>
        <v/>
      </c>
    </row>
    <row r="4373">
      <c r="D4373">
        <f>IFERROR(XLOOKUP(C4373,'Vendor Master'!$A$6:$A$15,'Vendor Master'!$B$6:$B$15,""),"")</f>
        <v/>
      </c>
      <c r="J4373">
        <f>IF(A4373="","",TEXT(A4373,"mmm-yyyy"))</f>
        <v/>
      </c>
    </row>
    <row r="4374">
      <c r="D4374">
        <f>IFERROR(XLOOKUP(C4374,'Vendor Master'!$A$6:$A$15,'Vendor Master'!$B$6:$B$15,""),"")</f>
        <v/>
      </c>
      <c r="J4374">
        <f>IF(A4374="","",TEXT(A4374,"mmm-yyyy"))</f>
        <v/>
      </c>
    </row>
    <row r="4375">
      <c r="D4375">
        <f>IFERROR(XLOOKUP(C4375,'Vendor Master'!$A$6:$A$15,'Vendor Master'!$B$6:$B$15,""),"")</f>
        <v/>
      </c>
      <c r="J4375">
        <f>IF(A4375="","",TEXT(A4375,"mmm-yyyy"))</f>
        <v/>
      </c>
    </row>
    <row r="4376">
      <c r="D4376">
        <f>IFERROR(XLOOKUP(C4376,'Vendor Master'!$A$6:$A$15,'Vendor Master'!$B$6:$B$15,""),"")</f>
        <v/>
      </c>
      <c r="J4376">
        <f>IF(A4376="","",TEXT(A4376,"mmm-yyyy"))</f>
        <v/>
      </c>
    </row>
    <row r="4377">
      <c r="D4377">
        <f>IFERROR(XLOOKUP(C4377,'Vendor Master'!$A$6:$A$15,'Vendor Master'!$B$6:$B$15,""),"")</f>
        <v/>
      </c>
      <c r="J4377">
        <f>IF(A4377="","",TEXT(A4377,"mmm-yyyy"))</f>
        <v/>
      </c>
    </row>
    <row r="4378">
      <c r="D4378">
        <f>IFERROR(XLOOKUP(C4378,'Vendor Master'!$A$6:$A$15,'Vendor Master'!$B$6:$B$15,""),"")</f>
        <v/>
      </c>
      <c r="J4378">
        <f>IF(A4378="","",TEXT(A4378,"mmm-yyyy"))</f>
        <v/>
      </c>
    </row>
    <row r="4379">
      <c r="D4379">
        <f>IFERROR(XLOOKUP(C4379,'Vendor Master'!$A$6:$A$15,'Vendor Master'!$B$6:$B$15,""),"")</f>
        <v/>
      </c>
      <c r="J4379">
        <f>IF(A4379="","",TEXT(A4379,"mmm-yyyy"))</f>
        <v/>
      </c>
    </row>
    <row r="4380">
      <c r="D4380">
        <f>IFERROR(XLOOKUP(C4380,'Vendor Master'!$A$6:$A$15,'Vendor Master'!$B$6:$B$15,""),"")</f>
        <v/>
      </c>
      <c r="J4380">
        <f>IF(A4380="","",TEXT(A4380,"mmm-yyyy"))</f>
        <v/>
      </c>
    </row>
    <row r="4381">
      <c r="D4381">
        <f>IFERROR(XLOOKUP(C4381,'Vendor Master'!$A$6:$A$15,'Vendor Master'!$B$6:$B$15,""),"")</f>
        <v/>
      </c>
      <c r="J4381">
        <f>IF(A4381="","",TEXT(A4381,"mmm-yyyy"))</f>
        <v/>
      </c>
    </row>
    <row r="4382">
      <c r="D4382">
        <f>IFERROR(XLOOKUP(C4382,'Vendor Master'!$A$6:$A$15,'Vendor Master'!$B$6:$B$15,""),"")</f>
        <v/>
      </c>
      <c r="J4382">
        <f>IF(A4382="","",TEXT(A4382,"mmm-yyyy"))</f>
        <v/>
      </c>
    </row>
    <row r="4383">
      <c r="D4383">
        <f>IFERROR(XLOOKUP(C4383,'Vendor Master'!$A$6:$A$15,'Vendor Master'!$B$6:$B$15,""),"")</f>
        <v/>
      </c>
      <c r="J4383">
        <f>IF(A4383="","",TEXT(A4383,"mmm-yyyy"))</f>
        <v/>
      </c>
    </row>
    <row r="4384">
      <c r="D4384">
        <f>IFERROR(XLOOKUP(C4384,'Vendor Master'!$A$6:$A$15,'Vendor Master'!$B$6:$B$15,""),"")</f>
        <v/>
      </c>
      <c r="J4384">
        <f>IF(A4384="","",TEXT(A4384,"mmm-yyyy"))</f>
        <v/>
      </c>
    </row>
    <row r="4385">
      <c r="D4385">
        <f>IFERROR(XLOOKUP(C4385,'Vendor Master'!$A$6:$A$15,'Vendor Master'!$B$6:$B$15,""),"")</f>
        <v/>
      </c>
      <c r="J4385">
        <f>IF(A4385="","",TEXT(A4385,"mmm-yyyy"))</f>
        <v/>
      </c>
    </row>
    <row r="4386">
      <c r="D4386">
        <f>IFERROR(XLOOKUP(C4386,'Vendor Master'!$A$6:$A$15,'Vendor Master'!$B$6:$B$15,""),"")</f>
        <v/>
      </c>
      <c r="J4386">
        <f>IF(A4386="","",TEXT(A4386,"mmm-yyyy"))</f>
        <v/>
      </c>
    </row>
    <row r="4387">
      <c r="D4387">
        <f>IFERROR(XLOOKUP(C4387,'Vendor Master'!$A$6:$A$15,'Vendor Master'!$B$6:$B$15,""),"")</f>
        <v/>
      </c>
      <c r="J4387">
        <f>IF(A4387="","",TEXT(A4387,"mmm-yyyy"))</f>
        <v/>
      </c>
    </row>
    <row r="4388">
      <c r="D4388">
        <f>IFERROR(XLOOKUP(C4388,'Vendor Master'!$A$6:$A$15,'Vendor Master'!$B$6:$B$15,""),"")</f>
        <v/>
      </c>
      <c r="J4388">
        <f>IF(A4388="","",TEXT(A4388,"mmm-yyyy"))</f>
        <v/>
      </c>
    </row>
    <row r="4389">
      <c r="D4389">
        <f>IFERROR(XLOOKUP(C4389,'Vendor Master'!$A$6:$A$15,'Vendor Master'!$B$6:$B$15,""),"")</f>
        <v/>
      </c>
      <c r="J4389">
        <f>IF(A4389="","",TEXT(A4389,"mmm-yyyy"))</f>
        <v/>
      </c>
    </row>
    <row r="4390">
      <c r="D4390">
        <f>IFERROR(XLOOKUP(C4390,'Vendor Master'!$A$6:$A$15,'Vendor Master'!$B$6:$B$15,""),"")</f>
        <v/>
      </c>
      <c r="J4390">
        <f>IF(A4390="","",TEXT(A4390,"mmm-yyyy"))</f>
        <v/>
      </c>
    </row>
    <row r="4391">
      <c r="D4391">
        <f>IFERROR(XLOOKUP(C4391,'Vendor Master'!$A$6:$A$15,'Vendor Master'!$B$6:$B$15,""),"")</f>
        <v/>
      </c>
      <c r="J4391">
        <f>IF(A4391="","",TEXT(A4391,"mmm-yyyy"))</f>
        <v/>
      </c>
    </row>
    <row r="4392">
      <c r="D4392">
        <f>IFERROR(XLOOKUP(C4392,'Vendor Master'!$A$6:$A$15,'Vendor Master'!$B$6:$B$15,""),"")</f>
        <v/>
      </c>
      <c r="J4392">
        <f>IF(A4392="","",TEXT(A4392,"mmm-yyyy"))</f>
        <v/>
      </c>
    </row>
    <row r="4393">
      <c r="D4393">
        <f>IFERROR(XLOOKUP(C4393,'Vendor Master'!$A$6:$A$15,'Vendor Master'!$B$6:$B$15,""),"")</f>
        <v/>
      </c>
      <c r="J4393">
        <f>IF(A4393="","",TEXT(A4393,"mmm-yyyy"))</f>
        <v/>
      </c>
    </row>
    <row r="4394">
      <c r="D4394">
        <f>IFERROR(XLOOKUP(C4394,'Vendor Master'!$A$6:$A$15,'Vendor Master'!$B$6:$B$15,""),"")</f>
        <v/>
      </c>
      <c r="J4394">
        <f>IF(A4394="","",TEXT(A4394,"mmm-yyyy"))</f>
        <v/>
      </c>
    </row>
    <row r="4395">
      <c r="D4395">
        <f>IFERROR(XLOOKUP(C4395,'Vendor Master'!$A$6:$A$15,'Vendor Master'!$B$6:$B$15,""),"")</f>
        <v/>
      </c>
      <c r="J4395">
        <f>IF(A4395="","",TEXT(A4395,"mmm-yyyy"))</f>
        <v/>
      </c>
    </row>
    <row r="4396">
      <c r="D4396">
        <f>IFERROR(XLOOKUP(C4396,'Vendor Master'!$A$6:$A$15,'Vendor Master'!$B$6:$B$15,""),"")</f>
        <v/>
      </c>
      <c r="J4396">
        <f>IF(A4396="","",TEXT(A4396,"mmm-yyyy"))</f>
        <v/>
      </c>
    </row>
    <row r="4397">
      <c r="D4397">
        <f>IFERROR(XLOOKUP(C4397,'Vendor Master'!$A$6:$A$15,'Vendor Master'!$B$6:$B$15,""),"")</f>
        <v/>
      </c>
      <c r="J4397">
        <f>IF(A4397="","",TEXT(A4397,"mmm-yyyy"))</f>
        <v/>
      </c>
    </row>
    <row r="4398">
      <c r="D4398">
        <f>IFERROR(XLOOKUP(C4398,'Vendor Master'!$A$6:$A$15,'Vendor Master'!$B$6:$B$15,""),"")</f>
        <v/>
      </c>
      <c r="J4398">
        <f>IF(A4398="","",TEXT(A4398,"mmm-yyyy"))</f>
        <v/>
      </c>
    </row>
    <row r="4399">
      <c r="D4399">
        <f>IFERROR(XLOOKUP(C4399,'Vendor Master'!$A$6:$A$15,'Vendor Master'!$B$6:$B$15,""),"")</f>
        <v/>
      </c>
      <c r="J4399">
        <f>IF(A4399="","",TEXT(A4399,"mmm-yyyy"))</f>
        <v/>
      </c>
    </row>
    <row r="4400">
      <c r="D4400">
        <f>IFERROR(XLOOKUP(C4400,'Vendor Master'!$A$6:$A$15,'Vendor Master'!$B$6:$B$15,""),"")</f>
        <v/>
      </c>
      <c r="J4400">
        <f>IF(A4400="","",TEXT(A4400,"mmm-yyyy"))</f>
        <v/>
      </c>
    </row>
    <row r="4401">
      <c r="D4401">
        <f>IFERROR(XLOOKUP(C4401,'Vendor Master'!$A$6:$A$15,'Vendor Master'!$B$6:$B$15,""),"")</f>
        <v/>
      </c>
      <c r="J4401">
        <f>IF(A4401="","",TEXT(A4401,"mmm-yyyy"))</f>
        <v/>
      </c>
    </row>
    <row r="4402">
      <c r="D4402">
        <f>IFERROR(XLOOKUP(C4402,'Vendor Master'!$A$6:$A$15,'Vendor Master'!$B$6:$B$15,""),"")</f>
        <v/>
      </c>
      <c r="J4402">
        <f>IF(A4402="","",TEXT(A4402,"mmm-yyyy"))</f>
        <v/>
      </c>
    </row>
    <row r="4403">
      <c r="D4403">
        <f>IFERROR(XLOOKUP(C4403,'Vendor Master'!$A$6:$A$15,'Vendor Master'!$B$6:$B$15,""),"")</f>
        <v/>
      </c>
      <c r="J4403">
        <f>IF(A4403="","",TEXT(A4403,"mmm-yyyy"))</f>
        <v/>
      </c>
    </row>
    <row r="4404">
      <c r="D4404">
        <f>IFERROR(XLOOKUP(C4404,'Vendor Master'!$A$6:$A$15,'Vendor Master'!$B$6:$B$15,""),"")</f>
        <v/>
      </c>
      <c r="J4404">
        <f>IF(A4404="","",TEXT(A4404,"mmm-yyyy"))</f>
        <v/>
      </c>
    </row>
    <row r="4405">
      <c r="D4405">
        <f>IFERROR(XLOOKUP(C4405,'Vendor Master'!$A$6:$A$15,'Vendor Master'!$B$6:$B$15,""),"")</f>
        <v/>
      </c>
      <c r="J4405">
        <f>IF(A4405="","",TEXT(A4405,"mmm-yyyy"))</f>
        <v/>
      </c>
    </row>
    <row r="4406">
      <c r="D4406">
        <f>IFERROR(XLOOKUP(C4406,'Vendor Master'!$A$6:$A$15,'Vendor Master'!$B$6:$B$15,""),"")</f>
        <v/>
      </c>
      <c r="J4406">
        <f>IF(A4406="","",TEXT(A4406,"mmm-yyyy"))</f>
        <v/>
      </c>
    </row>
    <row r="4407">
      <c r="D4407">
        <f>IFERROR(XLOOKUP(C4407,'Vendor Master'!$A$6:$A$15,'Vendor Master'!$B$6:$B$15,""),"")</f>
        <v/>
      </c>
      <c r="J4407">
        <f>IF(A4407="","",TEXT(A4407,"mmm-yyyy"))</f>
        <v/>
      </c>
    </row>
    <row r="4408">
      <c r="D4408">
        <f>IFERROR(XLOOKUP(C4408,'Vendor Master'!$A$6:$A$15,'Vendor Master'!$B$6:$B$15,""),"")</f>
        <v/>
      </c>
      <c r="J4408">
        <f>IF(A4408="","",TEXT(A4408,"mmm-yyyy"))</f>
        <v/>
      </c>
    </row>
    <row r="4409">
      <c r="D4409">
        <f>IFERROR(XLOOKUP(C4409,'Vendor Master'!$A$6:$A$15,'Vendor Master'!$B$6:$B$15,""),"")</f>
        <v/>
      </c>
      <c r="J4409">
        <f>IF(A4409="","",TEXT(A4409,"mmm-yyyy"))</f>
        <v/>
      </c>
    </row>
    <row r="4410">
      <c r="D4410">
        <f>IFERROR(XLOOKUP(C4410,'Vendor Master'!$A$6:$A$15,'Vendor Master'!$B$6:$B$15,""),"")</f>
        <v/>
      </c>
      <c r="J4410">
        <f>IF(A4410="","",TEXT(A4410,"mmm-yyyy"))</f>
        <v/>
      </c>
    </row>
    <row r="4411">
      <c r="D4411">
        <f>IFERROR(XLOOKUP(C4411,'Vendor Master'!$A$6:$A$15,'Vendor Master'!$B$6:$B$15,""),"")</f>
        <v/>
      </c>
      <c r="J4411">
        <f>IF(A4411="","",TEXT(A4411,"mmm-yyyy"))</f>
        <v/>
      </c>
    </row>
    <row r="4412">
      <c r="D4412">
        <f>IFERROR(XLOOKUP(C4412,'Vendor Master'!$A$6:$A$15,'Vendor Master'!$B$6:$B$15,""),"")</f>
        <v/>
      </c>
      <c r="J4412">
        <f>IF(A4412="","",TEXT(A4412,"mmm-yyyy"))</f>
        <v/>
      </c>
    </row>
    <row r="4413">
      <c r="D4413">
        <f>IFERROR(XLOOKUP(C4413,'Vendor Master'!$A$6:$A$15,'Vendor Master'!$B$6:$B$15,""),"")</f>
        <v/>
      </c>
      <c r="J4413">
        <f>IF(A4413="","",TEXT(A4413,"mmm-yyyy"))</f>
        <v/>
      </c>
    </row>
    <row r="4414">
      <c r="D4414">
        <f>IFERROR(XLOOKUP(C4414,'Vendor Master'!$A$6:$A$15,'Vendor Master'!$B$6:$B$15,""),"")</f>
        <v/>
      </c>
      <c r="J4414">
        <f>IF(A4414="","",TEXT(A4414,"mmm-yyyy"))</f>
        <v/>
      </c>
    </row>
    <row r="4415">
      <c r="D4415">
        <f>IFERROR(XLOOKUP(C4415,'Vendor Master'!$A$6:$A$15,'Vendor Master'!$B$6:$B$15,""),"")</f>
        <v/>
      </c>
      <c r="J4415">
        <f>IF(A4415="","",TEXT(A4415,"mmm-yyyy"))</f>
        <v/>
      </c>
    </row>
    <row r="4416">
      <c r="D4416">
        <f>IFERROR(XLOOKUP(C4416,'Vendor Master'!$A$6:$A$15,'Vendor Master'!$B$6:$B$15,""),"")</f>
        <v/>
      </c>
      <c r="J4416">
        <f>IF(A4416="","",TEXT(A4416,"mmm-yyyy"))</f>
        <v/>
      </c>
    </row>
    <row r="4417">
      <c r="D4417">
        <f>IFERROR(XLOOKUP(C4417,'Vendor Master'!$A$6:$A$15,'Vendor Master'!$B$6:$B$15,""),"")</f>
        <v/>
      </c>
      <c r="J4417">
        <f>IF(A4417="","",TEXT(A4417,"mmm-yyyy"))</f>
        <v/>
      </c>
    </row>
    <row r="4418">
      <c r="D4418">
        <f>IFERROR(XLOOKUP(C4418,'Vendor Master'!$A$6:$A$15,'Vendor Master'!$B$6:$B$15,""),"")</f>
        <v/>
      </c>
      <c r="J4418">
        <f>IF(A4418="","",TEXT(A4418,"mmm-yyyy"))</f>
        <v/>
      </c>
    </row>
    <row r="4419">
      <c r="D4419">
        <f>IFERROR(XLOOKUP(C4419,'Vendor Master'!$A$6:$A$15,'Vendor Master'!$B$6:$B$15,""),"")</f>
        <v/>
      </c>
      <c r="J4419">
        <f>IF(A4419="","",TEXT(A4419,"mmm-yyyy"))</f>
        <v/>
      </c>
    </row>
    <row r="4420">
      <c r="D4420">
        <f>IFERROR(XLOOKUP(C4420,'Vendor Master'!$A$6:$A$15,'Vendor Master'!$B$6:$B$15,""),"")</f>
        <v/>
      </c>
      <c r="J4420">
        <f>IF(A4420="","",TEXT(A4420,"mmm-yyyy"))</f>
        <v/>
      </c>
    </row>
    <row r="4421">
      <c r="D4421">
        <f>IFERROR(XLOOKUP(C4421,'Vendor Master'!$A$6:$A$15,'Vendor Master'!$B$6:$B$15,""),"")</f>
        <v/>
      </c>
      <c r="J4421">
        <f>IF(A4421="","",TEXT(A4421,"mmm-yyyy"))</f>
        <v/>
      </c>
    </row>
    <row r="4422">
      <c r="D4422">
        <f>IFERROR(XLOOKUP(C4422,'Vendor Master'!$A$6:$A$15,'Vendor Master'!$B$6:$B$15,""),"")</f>
        <v/>
      </c>
      <c r="J4422">
        <f>IF(A4422="","",TEXT(A4422,"mmm-yyyy"))</f>
        <v/>
      </c>
    </row>
    <row r="4423">
      <c r="D4423">
        <f>IFERROR(XLOOKUP(C4423,'Vendor Master'!$A$6:$A$15,'Vendor Master'!$B$6:$B$15,""),"")</f>
        <v/>
      </c>
      <c r="J4423">
        <f>IF(A4423="","",TEXT(A4423,"mmm-yyyy"))</f>
        <v/>
      </c>
    </row>
    <row r="4424">
      <c r="D4424">
        <f>IFERROR(XLOOKUP(C4424,'Vendor Master'!$A$6:$A$15,'Vendor Master'!$B$6:$B$15,""),"")</f>
        <v/>
      </c>
      <c r="J4424">
        <f>IF(A4424="","",TEXT(A4424,"mmm-yyyy"))</f>
        <v/>
      </c>
    </row>
    <row r="4425">
      <c r="D4425">
        <f>IFERROR(XLOOKUP(C4425,'Vendor Master'!$A$6:$A$15,'Vendor Master'!$B$6:$B$15,""),"")</f>
        <v/>
      </c>
      <c r="J4425">
        <f>IF(A4425="","",TEXT(A4425,"mmm-yyyy"))</f>
        <v/>
      </c>
    </row>
    <row r="4426">
      <c r="D4426">
        <f>IFERROR(XLOOKUP(C4426,'Vendor Master'!$A$6:$A$15,'Vendor Master'!$B$6:$B$15,""),"")</f>
        <v/>
      </c>
      <c r="J4426">
        <f>IF(A4426="","",TEXT(A4426,"mmm-yyyy"))</f>
        <v/>
      </c>
    </row>
    <row r="4427">
      <c r="D4427">
        <f>IFERROR(XLOOKUP(C4427,'Vendor Master'!$A$6:$A$15,'Vendor Master'!$B$6:$B$15,""),"")</f>
        <v/>
      </c>
      <c r="J4427">
        <f>IF(A4427="","",TEXT(A4427,"mmm-yyyy"))</f>
        <v/>
      </c>
    </row>
    <row r="4428">
      <c r="D4428">
        <f>IFERROR(XLOOKUP(C4428,'Vendor Master'!$A$6:$A$15,'Vendor Master'!$B$6:$B$15,""),"")</f>
        <v/>
      </c>
      <c r="J4428">
        <f>IF(A4428="","",TEXT(A4428,"mmm-yyyy"))</f>
        <v/>
      </c>
    </row>
    <row r="4429">
      <c r="D4429">
        <f>IFERROR(XLOOKUP(C4429,'Vendor Master'!$A$6:$A$15,'Vendor Master'!$B$6:$B$15,""),"")</f>
        <v/>
      </c>
      <c r="J4429">
        <f>IF(A4429="","",TEXT(A4429,"mmm-yyyy"))</f>
        <v/>
      </c>
    </row>
    <row r="4430">
      <c r="D4430">
        <f>IFERROR(XLOOKUP(C4430,'Vendor Master'!$A$6:$A$15,'Vendor Master'!$B$6:$B$15,""),"")</f>
        <v/>
      </c>
      <c r="J4430">
        <f>IF(A4430="","",TEXT(A4430,"mmm-yyyy"))</f>
        <v/>
      </c>
    </row>
    <row r="4431">
      <c r="D4431">
        <f>IFERROR(XLOOKUP(C4431,'Vendor Master'!$A$6:$A$15,'Vendor Master'!$B$6:$B$15,""),"")</f>
        <v/>
      </c>
      <c r="J4431">
        <f>IF(A4431="","",TEXT(A4431,"mmm-yyyy"))</f>
        <v/>
      </c>
    </row>
    <row r="4432">
      <c r="D4432">
        <f>IFERROR(XLOOKUP(C4432,'Vendor Master'!$A$6:$A$15,'Vendor Master'!$B$6:$B$15,""),"")</f>
        <v/>
      </c>
      <c r="J4432">
        <f>IF(A4432="","",TEXT(A4432,"mmm-yyyy"))</f>
        <v/>
      </c>
    </row>
    <row r="4433">
      <c r="D4433">
        <f>IFERROR(XLOOKUP(C4433,'Vendor Master'!$A$6:$A$15,'Vendor Master'!$B$6:$B$15,""),"")</f>
        <v/>
      </c>
      <c r="J4433">
        <f>IF(A4433="","",TEXT(A4433,"mmm-yyyy"))</f>
        <v/>
      </c>
    </row>
    <row r="4434">
      <c r="D4434">
        <f>IFERROR(XLOOKUP(C4434,'Vendor Master'!$A$6:$A$15,'Vendor Master'!$B$6:$B$15,""),"")</f>
        <v/>
      </c>
      <c r="J4434">
        <f>IF(A4434="","",TEXT(A4434,"mmm-yyyy"))</f>
        <v/>
      </c>
    </row>
    <row r="4435">
      <c r="D4435">
        <f>IFERROR(XLOOKUP(C4435,'Vendor Master'!$A$6:$A$15,'Vendor Master'!$B$6:$B$15,""),"")</f>
        <v/>
      </c>
      <c r="J4435">
        <f>IF(A4435="","",TEXT(A4435,"mmm-yyyy"))</f>
        <v/>
      </c>
    </row>
    <row r="4436">
      <c r="D4436">
        <f>IFERROR(XLOOKUP(C4436,'Vendor Master'!$A$6:$A$15,'Vendor Master'!$B$6:$B$15,""),"")</f>
        <v/>
      </c>
      <c r="J4436">
        <f>IF(A4436="","",TEXT(A4436,"mmm-yyyy"))</f>
        <v/>
      </c>
    </row>
    <row r="4437">
      <c r="D4437">
        <f>IFERROR(XLOOKUP(C4437,'Vendor Master'!$A$6:$A$15,'Vendor Master'!$B$6:$B$15,""),"")</f>
        <v/>
      </c>
      <c r="J4437">
        <f>IF(A4437="","",TEXT(A4437,"mmm-yyyy"))</f>
        <v/>
      </c>
    </row>
    <row r="4438">
      <c r="D4438">
        <f>IFERROR(XLOOKUP(C4438,'Vendor Master'!$A$6:$A$15,'Vendor Master'!$B$6:$B$15,""),"")</f>
        <v/>
      </c>
      <c r="J4438">
        <f>IF(A4438="","",TEXT(A4438,"mmm-yyyy"))</f>
        <v/>
      </c>
    </row>
    <row r="4439">
      <c r="D4439">
        <f>IFERROR(XLOOKUP(C4439,'Vendor Master'!$A$6:$A$15,'Vendor Master'!$B$6:$B$15,""),"")</f>
        <v/>
      </c>
      <c r="J4439">
        <f>IF(A4439="","",TEXT(A4439,"mmm-yyyy"))</f>
        <v/>
      </c>
    </row>
    <row r="4440">
      <c r="D4440">
        <f>IFERROR(XLOOKUP(C4440,'Vendor Master'!$A$6:$A$15,'Vendor Master'!$B$6:$B$15,""),"")</f>
        <v/>
      </c>
      <c r="J4440">
        <f>IF(A4440="","",TEXT(A4440,"mmm-yyyy"))</f>
        <v/>
      </c>
    </row>
    <row r="4441">
      <c r="D4441">
        <f>IFERROR(XLOOKUP(C4441,'Vendor Master'!$A$6:$A$15,'Vendor Master'!$B$6:$B$15,""),"")</f>
        <v/>
      </c>
      <c r="J4441">
        <f>IF(A4441="","",TEXT(A4441,"mmm-yyyy"))</f>
        <v/>
      </c>
    </row>
    <row r="4442">
      <c r="D4442">
        <f>IFERROR(XLOOKUP(C4442,'Vendor Master'!$A$6:$A$15,'Vendor Master'!$B$6:$B$15,""),"")</f>
        <v/>
      </c>
      <c r="J4442">
        <f>IF(A4442="","",TEXT(A4442,"mmm-yyyy"))</f>
        <v/>
      </c>
    </row>
    <row r="4443">
      <c r="D4443">
        <f>IFERROR(XLOOKUP(C4443,'Vendor Master'!$A$6:$A$15,'Vendor Master'!$B$6:$B$15,""),"")</f>
        <v/>
      </c>
      <c r="J4443">
        <f>IF(A4443="","",TEXT(A4443,"mmm-yyyy"))</f>
        <v/>
      </c>
    </row>
    <row r="4444">
      <c r="D4444">
        <f>IFERROR(XLOOKUP(C4444,'Vendor Master'!$A$6:$A$15,'Vendor Master'!$B$6:$B$15,""),"")</f>
        <v/>
      </c>
      <c r="J4444">
        <f>IF(A4444="","",TEXT(A4444,"mmm-yyyy"))</f>
        <v/>
      </c>
    </row>
    <row r="4445">
      <c r="D4445">
        <f>IFERROR(XLOOKUP(C4445,'Vendor Master'!$A$6:$A$15,'Vendor Master'!$B$6:$B$15,""),"")</f>
        <v/>
      </c>
      <c r="J4445">
        <f>IF(A4445="","",TEXT(A4445,"mmm-yyyy"))</f>
        <v/>
      </c>
    </row>
    <row r="4446">
      <c r="D4446">
        <f>IFERROR(XLOOKUP(C4446,'Vendor Master'!$A$6:$A$15,'Vendor Master'!$B$6:$B$15,""),"")</f>
        <v/>
      </c>
      <c r="J4446">
        <f>IF(A4446="","",TEXT(A4446,"mmm-yyyy"))</f>
        <v/>
      </c>
    </row>
    <row r="4447">
      <c r="D4447">
        <f>IFERROR(XLOOKUP(C4447,'Vendor Master'!$A$6:$A$15,'Vendor Master'!$B$6:$B$15,""),"")</f>
        <v/>
      </c>
      <c r="J4447">
        <f>IF(A4447="","",TEXT(A4447,"mmm-yyyy"))</f>
        <v/>
      </c>
    </row>
    <row r="4448">
      <c r="D4448">
        <f>IFERROR(XLOOKUP(C4448,'Vendor Master'!$A$6:$A$15,'Vendor Master'!$B$6:$B$15,""),"")</f>
        <v/>
      </c>
      <c r="J4448">
        <f>IF(A4448="","",TEXT(A4448,"mmm-yyyy"))</f>
        <v/>
      </c>
    </row>
    <row r="4449">
      <c r="D4449">
        <f>IFERROR(XLOOKUP(C4449,'Vendor Master'!$A$6:$A$15,'Vendor Master'!$B$6:$B$15,""),"")</f>
        <v/>
      </c>
      <c r="J4449">
        <f>IF(A4449="","",TEXT(A4449,"mmm-yyyy"))</f>
        <v/>
      </c>
    </row>
    <row r="4450">
      <c r="D4450">
        <f>IFERROR(XLOOKUP(C4450,'Vendor Master'!$A$6:$A$15,'Vendor Master'!$B$6:$B$15,""),"")</f>
        <v/>
      </c>
      <c r="J4450">
        <f>IF(A4450="","",TEXT(A4450,"mmm-yyyy"))</f>
        <v/>
      </c>
    </row>
    <row r="4451">
      <c r="D4451">
        <f>IFERROR(XLOOKUP(C4451,'Vendor Master'!$A$6:$A$15,'Vendor Master'!$B$6:$B$15,""),"")</f>
        <v/>
      </c>
      <c r="J4451">
        <f>IF(A4451="","",TEXT(A4451,"mmm-yyyy"))</f>
        <v/>
      </c>
    </row>
    <row r="4452">
      <c r="D4452">
        <f>IFERROR(XLOOKUP(C4452,'Vendor Master'!$A$6:$A$15,'Vendor Master'!$B$6:$B$15,""),"")</f>
        <v/>
      </c>
      <c r="J4452">
        <f>IF(A4452="","",TEXT(A4452,"mmm-yyyy"))</f>
        <v/>
      </c>
    </row>
    <row r="4453">
      <c r="D4453">
        <f>IFERROR(XLOOKUP(C4453,'Vendor Master'!$A$6:$A$15,'Vendor Master'!$B$6:$B$15,""),"")</f>
        <v/>
      </c>
      <c r="J4453">
        <f>IF(A4453="","",TEXT(A4453,"mmm-yyyy"))</f>
        <v/>
      </c>
    </row>
    <row r="4454">
      <c r="D4454">
        <f>IFERROR(XLOOKUP(C4454,'Vendor Master'!$A$6:$A$15,'Vendor Master'!$B$6:$B$15,""),"")</f>
        <v/>
      </c>
      <c r="J4454">
        <f>IF(A4454="","",TEXT(A4454,"mmm-yyyy"))</f>
        <v/>
      </c>
    </row>
    <row r="4455">
      <c r="D4455">
        <f>IFERROR(XLOOKUP(C4455,'Vendor Master'!$A$6:$A$15,'Vendor Master'!$B$6:$B$15,""),"")</f>
        <v/>
      </c>
      <c r="J4455">
        <f>IF(A4455="","",TEXT(A4455,"mmm-yyyy"))</f>
        <v/>
      </c>
    </row>
    <row r="4456">
      <c r="D4456">
        <f>IFERROR(XLOOKUP(C4456,'Vendor Master'!$A$6:$A$15,'Vendor Master'!$B$6:$B$15,""),"")</f>
        <v/>
      </c>
      <c r="J4456">
        <f>IF(A4456="","",TEXT(A4456,"mmm-yyyy"))</f>
        <v/>
      </c>
    </row>
    <row r="4457">
      <c r="D4457">
        <f>IFERROR(XLOOKUP(C4457,'Vendor Master'!$A$6:$A$15,'Vendor Master'!$B$6:$B$15,""),"")</f>
        <v/>
      </c>
      <c r="J4457">
        <f>IF(A4457="","",TEXT(A4457,"mmm-yyyy"))</f>
        <v/>
      </c>
    </row>
    <row r="4458">
      <c r="D4458">
        <f>IFERROR(XLOOKUP(C4458,'Vendor Master'!$A$6:$A$15,'Vendor Master'!$B$6:$B$15,""),"")</f>
        <v/>
      </c>
      <c r="J4458">
        <f>IF(A4458="","",TEXT(A4458,"mmm-yyyy"))</f>
        <v/>
      </c>
    </row>
    <row r="4459">
      <c r="D4459">
        <f>IFERROR(XLOOKUP(C4459,'Vendor Master'!$A$6:$A$15,'Vendor Master'!$B$6:$B$15,""),"")</f>
        <v/>
      </c>
      <c r="J4459">
        <f>IF(A4459="","",TEXT(A4459,"mmm-yyyy"))</f>
        <v/>
      </c>
    </row>
    <row r="4460">
      <c r="D4460">
        <f>IFERROR(XLOOKUP(C4460,'Vendor Master'!$A$6:$A$15,'Vendor Master'!$B$6:$B$15,""),"")</f>
        <v/>
      </c>
      <c r="J4460">
        <f>IF(A4460="","",TEXT(A4460,"mmm-yyyy"))</f>
        <v/>
      </c>
    </row>
    <row r="4461">
      <c r="D4461">
        <f>IFERROR(XLOOKUP(C4461,'Vendor Master'!$A$6:$A$15,'Vendor Master'!$B$6:$B$15,""),"")</f>
        <v/>
      </c>
      <c r="J4461">
        <f>IF(A4461="","",TEXT(A4461,"mmm-yyyy"))</f>
        <v/>
      </c>
    </row>
    <row r="4462">
      <c r="D4462">
        <f>IFERROR(XLOOKUP(C4462,'Vendor Master'!$A$6:$A$15,'Vendor Master'!$B$6:$B$15,""),"")</f>
        <v/>
      </c>
      <c r="J4462">
        <f>IF(A4462="","",TEXT(A4462,"mmm-yyyy"))</f>
        <v/>
      </c>
    </row>
    <row r="4463">
      <c r="D4463">
        <f>IFERROR(XLOOKUP(C4463,'Vendor Master'!$A$6:$A$15,'Vendor Master'!$B$6:$B$15,""),"")</f>
        <v/>
      </c>
      <c r="J4463">
        <f>IF(A4463="","",TEXT(A4463,"mmm-yyyy"))</f>
        <v/>
      </c>
    </row>
    <row r="4464">
      <c r="D4464">
        <f>IFERROR(XLOOKUP(C4464,'Vendor Master'!$A$6:$A$15,'Vendor Master'!$B$6:$B$15,""),"")</f>
        <v/>
      </c>
      <c r="J4464">
        <f>IF(A4464="","",TEXT(A4464,"mmm-yyyy"))</f>
        <v/>
      </c>
    </row>
    <row r="4465">
      <c r="D4465">
        <f>IFERROR(XLOOKUP(C4465,'Vendor Master'!$A$6:$A$15,'Vendor Master'!$B$6:$B$15,""),"")</f>
        <v/>
      </c>
      <c r="J4465">
        <f>IF(A4465="","",TEXT(A4465,"mmm-yyyy"))</f>
        <v/>
      </c>
    </row>
    <row r="4466">
      <c r="D4466">
        <f>IFERROR(XLOOKUP(C4466,'Vendor Master'!$A$6:$A$15,'Vendor Master'!$B$6:$B$15,""),"")</f>
        <v/>
      </c>
      <c r="J4466">
        <f>IF(A4466="","",TEXT(A4466,"mmm-yyyy"))</f>
        <v/>
      </c>
    </row>
    <row r="4467">
      <c r="D4467">
        <f>IFERROR(XLOOKUP(C4467,'Vendor Master'!$A$6:$A$15,'Vendor Master'!$B$6:$B$15,""),"")</f>
        <v/>
      </c>
      <c r="J4467">
        <f>IF(A4467="","",TEXT(A4467,"mmm-yyyy"))</f>
        <v/>
      </c>
    </row>
    <row r="4468">
      <c r="D4468">
        <f>IFERROR(XLOOKUP(C4468,'Vendor Master'!$A$6:$A$15,'Vendor Master'!$B$6:$B$15,""),"")</f>
        <v/>
      </c>
      <c r="J4468">
        <f>IF(A4468="","",TEXT(A4468,"mmm-yyyy"))</f>
        <v/>
      </c>
    </row>
    <row r="4469">
      <c r="D4469">
        <f>IFERROR(XLOOKUP(C4469,'Vendor Master'!$A$6:$A$15,'Vendor Master'!$B$6:$B$15,""),"")</f>
        <v/>
      </c>
      <c r="J4469">
        <f>IF(A4469="","",TEXT(A4469,"mmm-yyyy"))</f>
        <v/>
      </c>
    </row>
    <row r="4470">
      <c r="D4470">
        <f>IFERROR(XLOOKUP(C4470,'Vendor Master'!$A$6:$A$15,'Vendor Master'!$B$6:$B$15,""),"")</f>
        <v/>
      </c>
      <c r="J4470">
        <f>IF(A4470="","",TEXT(A4470,"mmm-yyyy"))</f>
        <v/>
      </c>
    </row>
    <row r="4471">
      <c r="D4471">
        <f>IFERROR(XLOOKUP(C4471,'Vendor Master'!$A$6:$A$15,'Vendor Master'!$B$6:$B$15,""),"")</f>
        <v/>
      </c>
      <c r="J4471">
        <f>IF(A4471="","",TEXT(A4471,"mmm-yyyy"))</f>
        <v/>
      </c>
    </row>
    <row r="4472">
      <c r="D4472">
        <f>IFERROR(XLOOKUP(C4472,'Vendor Master'!$A$6:$A$15,'Vendor Master'!$B$6:$B$15,""),"")</f>
        <v/>
      </c>
      <c r="J4472">
        <f>IF(A4472="","",TEXT(A4472,"mmm-yyyy"))</f>
        <v/>
      </c>
    </row>
    <row r="4473">
      <c r="D4473">
        <f>IFERROR(XLOOKUP(C4473,'Vendor Master'!$A$6:$A$15,'Vendor Master'!$B$6:$B$15,""),"")</f>
        <v/>
      </c>
      <c r="J4473">
        <f>IF(A4473="","",TEXT(A4473,"mmm-yyyy"))</f>
        <v/>
      </c>
    </row>
    <row r="4474">
      <c r="D4474">
        <f>IFERROR(XLOOKUP(C4474,'Vendor Master'!$A$6:$A$15,'Vendor Master'!$B$6:$B$15,""),"")</f>
        <v/>
      </c>
      <c r="J4474">
        <f>IF(A4474="","",TEXT(A4474,"mmm-yyyy"))</f>
        <v/>
      </c>
    </row>
    <row r="4475">
      <c r="D4475">
        <f>IFERROR(XLOOKUP(C4475,'Vendor Master'!$A$6:$A$15,'Vendor Master'!$B$6:$B$15,""),"")</f>
        <v/>
      </c>
      <c r="J4475">
        <f>IF(A4475="","",TEXT(A4475,"mmm-yyyy"))</f>
        <v/>
      </c>
    </row>
    <row r="4476">
      <c r="D4476">
        <f>IFERROR(XLOOKUP(C4476,'Vendor Master'!$A$6:$A$15,'Vendor Master'!$B$6:$B$15,""),"")</f>
        <v/>
      </c>
      <c r="J4476">
        <f>IF(A4476="","",TEXT(A4476,"mmm-yyyy"))</f>
        <v/>
      </c>
    </row>
    <row r="4477">
      <c r="D4477">
        <f>IFERROR(XLOOKUP(C4477,'Vendor Master'!$A$6:$A$15,'Vendor Master'!$B$6:$B$15,""),"")</f>
        <v/>
      </c>
      <c r="J4477">
        <f>IF(A4477="","",TEXT(A4477,"mmm-yyyy"))</f>
        <v/>
      </c>
    </row>
    <row r="4478">
      <c r="D4478">
        <f>IFERROR(XLOOKUP(C4478,'Vendor Master'!$A$6:$A$15,'Vendor Master'!$B$6:$B$15,""),"")</f>
        <v/>
      </c>
      <c r="J4478">
        <f>IF(A4478="","",TEXT(A4478,"mmm-yyyy"))</f>
        <v/>
      </c>
    </row>
    <row r="4479">
      <c r="D4479">
        <f>IFERROR(XLOOKUP(C4479,'Vendor Master'!$A$6:$A$15,'Vendor Master'!$B$6:$B$15,""),"")</f>
        <v/>
      </c>
      <c r="J4479">
        <f>IF(A4479="","",TEXT(A4479,"mmm-yyyy"))</f>
        <v/>
      </c>
    </row>
    <row r="4480">
      <c r="D4480">
        <f>IFERROR(XLOOKUP(C4480,'Vendor Master'!$A$6:$A$15,'Vendor Master'!$B$6:$B$15,""),"")</f>
        <v/>
      </c>
      <c r="J4480">
        <f>IF(A4480="","",TEXT(A4480,"mmm-yyyy"))</f>
        <v/>
      </c>
    </row>
    <row r="4481">
      <c r="D4481">
        <f>IFERROR(XLOOKUP(C4481,'Vendor Master'!$A$6:$A$15,'Vendor Master'!$B$6:$B$15,""),"")</f>
        <v/>
      </c>
      <c r="J4481">
        <f>IF(A4481="","",TEXT(A4481,"mmm-yyyy"))</f>
        <v/>
      </c>
    </row>
    <row r="4482">
      <c r="D4482">
        <f>IFERROR(XLOOKUP(C4482,'Vendor Master'!$A$6:$A$15,'Vendor Master'!$B$6:$B$15,""),"")</f>
        <v/>
      </c>
      <c r="J4482">
        <f>IF(A4482="","",TEXT(A4482,"mmm-yyyy"))</f>
        <v/>
      </c>
    </row>
    <row r="4483">
      <c r="D4483">
        <f>IFERROR(XLOOKUP(C4483,'Vendor Master'!$A$6:$A$15,'Vendor Master'!$B$6:$B$15,""),"")</f>
        <v/>
      </c>
      <c r="J4483">
        <f>IF(A4483="","",TEXT(A4483,"mmm-yyyy"))</f>
        <v/>
      </c>
    </row>
    <row r="4484">
      <c r="D4484">
        <f>IFERROR(XLOOKUP(C4484,'Vendor Master'!$A$6:$A$15,'Vendor Master'!$B$6:$B$15,""),"")</f>
        <v/>
      </c>
      <c r="J4484">
        <f>IF(A4484="","",TEXT(A4484,"mmm-yyyy"))</f>
        <v/>
      </c>
    </row>
    <row r="4485">
      <c r="D4485">
        <f>IFERROR(XLOOKUP(C4485,'Vendor Master'!$A$6:$A$15,'Vendor Master'!$B$6:$B$15,""),"")</f>
        <v/>
      </c>
      <c r="J4485">
        <f>IF(A4485="","",TEXT(A4485,"mmm-yyyy"))</f>
        <v/>
      </c>
    </row>
    <row r="4486">
      <c r="D4486">
        <f>IFERROR(XLOOKUP(C4486,'Vendor Master'!$A$6:$A$15,'Vendor Master'!$B$6:$B$15,""),"")</f>
        <v/>
      </c>
      <c r="J4486">
        <f>IF(A4486="","",TEXT(A4486,"mmm-yyyy"))</f>
        <v/>
      </c>
    </row>
    <row r="4487">
      <c r="D4487">
        <f>IFERROR(XLOOKUP(C4487,'Vendor Master'!$A$6:$A$15,'Vendor Master'!$B$6:$B$15,""),"")</f>
        <v/>
      </c>
      <c r="J4487">
        <f>IF(A4487="","",TEXT(A4487,"mmm-yyyy"))</f>
        <v/>
      </c>
    </row>
    <row r="4488">
      <c r="D4488">
        <f>IFERROR(XLOOKUP(C4488,'Vendor Master'!$A$6:$A$15,'Vendor Master'!$B$6:$B$15,""),"")</f>
        <v/>
      </c>
      <c r="J4488">
        <f>IF(A4488="","",TEXT(A4488,"mmm-yyyy"))</f>
        <v/>
      </c>
    </row>
    <row r="4489">
      <c r="D4489">
        <f>IFERROR(XLOOKUP(C4489,'Vendor Master'!$A$6:$A$15,'Vendor Master'!$B$6:$B$15,""),"")</f>
        <v/>
      </c>
      <c r="J4489">
        <f>IF(A4489="","",TEXT(A4489,"mmm-yyyy"))</f>
        <v/>
      </c>
    </row>
    <row r="4490">
      <c r="D4490">
        <f>IFERROR(XLOOKUP(C4490,'Vendor Master'!$A$6:$A$15,'Vendor Master'!$B$6:$B$15,""),"")</f>
        <v/>
      </c>
      <c r="J4490">
        <f>IF(A4490="","",TEXT(A4490,"mmm-yyyy"))</f>
        <v/>
      </c>
    </row>
    <row r="4491">
      <c r="D4491">
        <f>IFERROR(XLOOKUP(C4491,'Vendor Master'!$A$6:$A$15,'Vendor Master'!$B$6:$B$15,""),"")</f>
        <v/>
      </c>
      <c r="J4491">
        <f>IF(A4491="","",TEXT(A4491,"mmm-yyyy"))</f>
        <v/>
      </c>
    </row>
    <row r="4492">
      <c r="D4492">
        <f>IFERROR(XLOOKUP(C4492,'Vendor Master'!$A$6:$A$15,'Vendor Master'!$B$6:$B$15,""),"")</f>
        <v/>
      </c>
      <c r="J4492">
        <f>IF(A4492="","",TEXT(A4492,"mmm-yyyy"))</f>
        <v/>
      </c>
    </row>
    <row r="4493">
      <c r="D4493">
        <f>IFERROR(XLOOKUP(C4493,'Vendor Master'!$A$6:$A$15,'Vendor Master'!$B$6:$B$15,""),"")</f>
        <v/>
      </c>
      <c r="J4493">
        <f>IF(A4493="","",TEXT(A4493,"mmm-yyyy"))</f>
        <v/>
      </c>
    </row>
    <row r="4494">
      <c r="D4494">
        <f>IFERROR(XLOOKUP(C4494,'Vendor Master'!$A$6:$A$15,'Vendor Master'!$B$6:$B$15,""),"")</f>
        <v/>
      </c>
      <c r="J4494">
        <f>IF(A4494="","",TEXT(A4494,"mmm-yyyy"))</f>
        <v/>
      </c>
    </row>
    <row r="4495">
      <c r="D4495">
        <f>IFERROR(XLOOKUP(C4495,'Vendor Master'!$A$6:$A$15,'Vendor Master'!$B$6:$B$15,""),"")</f>
        <v/>
      </c>
      <c r="J4495">
        <f>IF(A4495="","",TEXT(A4495,"mmm-yyyy"))</f>
        <v/>
      </c>
    </row>
    <row r="4496">
      <c r="D4496">
        <f>IFERROR(XLOOKUP(C4496,'Vendor Master'!$A$6:$A$15,'Vendor Master'!$B$6:$B$15,""),"")</f>
        <v/>
      </c>
      <c r="J4496">
        <f>IF(A4496="","",TEXT(A4496,"mmm-yyyy"))</f>
        <v/>
      </c>
    </row>
    <row r="4497">
      <c r="D4497">
        <f>IFERROR(XLOOKUP(C4497,'Vendor Master'!$A$6:$A$15,'Vendor Master'!$B$6:$B$15,""),"")</f>
        <v/>
      </c>
      <c r="J4497">
        <f>IF(A4497="","",TEXT(A4497,"mmm-yyyy"))</f>
        <v/>
      </c>
    </row>
    <row r="4498">
      <c r="D4498">
        <f>IFERROR(XLOOKUP(C4498,'Vendor Master'!$A$6:$A$15,'Vendor Master'!$B$6:$B$15,""),"")</f>
        <v/>
      </c>
      <c r="J4498">
        <f>IF(A4498="","",TEXT(A4498,"mmm-yyyy"))</f>
        <v/>
      </c>
    </row>
    <row r="4499">
      <c r="D4499">
        <f>IFERROR(XLOOKUP(C4499,'Vendor Master'!$A$6:$A$15,'Vendor Master'!$B$6:$B$15,""),"")</f>
        <v/>
      </c>
      <c r="J4499">
        <f>IF(A4499="","",TEXT(A4499,"mmm-yyyy"))</f>
        <v/>
      </c>
    </row>
    <row r="4500">
      <c r="D4500">
        <f>IFERROR(XLOOKUP(C4500,'Vendor Master'!$A$6:$A$15,'Vendor Master'!$B$6:$B$15,""),"")</f>
        <v/>
      </c>
      <c r="J4500">
        <f>IF(A4500="","",TEXT(A4500,"mmm-yyyy"))</f>
        <v/>
      </c>
    </row>
    <row r="4501">
      <c r="D4501">
        <f>IFERROR(XLOOKUP(C4501,'Vendor Master'!$A$6:$A$15,'Vendor Master'!$B$6:$B$15,""),"")</f>
        <v/>
      </c>
      <c r="J4501">
        <f>IF(A4501="","",TEXT(A4501,"mmm-yyyy"))</f>
        <v/>
      </c>
    </row>
    <row r="4502">
      <c r="D4502">
        <f>IFERROR(XLOOKUP(C4502,'Vendor Master'!$A$6:$A$15,'Vendor Master'!$B$6:$B$15,""),"")</f>
        <v/>
      </c>
      <c r="J4502">
        <f>IF(A4502="","",TEXT(A4502,"mmm-yyyy"))</f>
        <v/>
      </c>
    </row>
    <row r="4503">
      <c r="D4503">
        <f>IFERROR(XLOOKUP(C4503,'Vendor Master'!$A$6:$A$15,'Vendor Master'!$B$6:$B$15,""),"")</f>
        <v/>
      </c>
      <c r="J4503">
        <f>IF(A4503="","",TEXT(A4503,"mmm-yyyy"))</f>
        <v/>
      </c>
    </row>
    <row r="4504">
      <c r="D4504">
        <f>IFERROR(XLOOKUP(C4504,'Vendor Master'!$A$6:$A$15,'Vendor Master'!$B$6:$B$15,""),"")</f>
        <v/>
      </c>
      <c r="J4504">
        <f>IF(A4504="","",TEXT(A4504,"mmm-yyyy"))</f>
        <v/>
      </c>
    </row>
    <row r="4505">
      <c r="D4505">
        <f>IFERROR(XLOOKUP(C4505,'Vendor Master'!$A$6:$A$15,'Vendor Master'!$B$6:$B$15,""),"")</f>
        <v/>
      </c>
      <c r="J4505">
        <f>IF(A4505="","",TEXT(A4505,"mmm-yyyy"))</f>
        <v/>
      </c>
    </row>
    <row r="4506">
      <c r="D4506">
        <f>IFERROR(XLOOKUP(C4506,'Vendor Master'!$A$6:$A$15,'Vendor Master'!$B$6:$B$15,""),"")</f>
        <v/>
      </c>
      <c r="J4506">
        <f>IF(A4506="","",TEXT(A4506,"mmm-yyyy"))</f>
        <v/>
      </c>
    </row>
    <row r="4507">
      <c r="D4507">
        <f>IFERROR(XLOOKUP(C4507,'Vendor Master'!$A$6:$A$15,'Vendor Master'!$B$6:$B$15,""),"")</f>
        <v/>
      </c>
      <c r="J4507">
        <f>IF(A4507="","",TEXT(A4507,"mmm-yyyy"))</f>
        <v/>
      </c>
    </row>
    <row r="4508">
      <c r="D4508">
        <f>IFERROR(XLOOKUP(C4508,'Vendor Master'!$A$6:$A$15,'Vendor Master'!$B$6:$B$15,""),"")</f>
        <v/>
      </c>
      <c r="J4508">
        <f>IF(A4508="","",TEXT(A4508,"mmm-yyyy"))</f>
        <v/>
      </c>
    </row>
    <row r="4509">
      <c r="D4509">
        <f>IFERROR(XLOOKUP(C4509,'Vendor Master'!$A$6:$A$15,'Vendor Master'!$B$6:$B$15,""),"")</f>
        <v/>
      </c>
      <c r="J4509">
        <f>IF(A4509="","",TEXT(A4509,"mmm-yyyy"))</f>
        <v/>
      </c>
    </row>
    <row r="4510">
      <c r="D4510">
        <f>IFERROR(XLOOKUP(C4510,'Vendor Master'!$A$6:$A$15,'Vendor Master'!$B$6:$B$15,""),"")</f>
        <v/>
      </c>
      <c r="J4510">
        <f>IF(A4510="","",TEXT(A4510,"mmm-yyyy"))</f>
        <v/>
      </c>
    </row>
    <row r="4511">
      <c r="D4511">
        <f>IFERROR(XLOOKUP(C4511,'Vendor Master'!$A$6:$A$15,'Vendor Master'!$B$6:$B$15,""),"")</f>
        <v/>
      </c>
      <c r="J4511">
        <f>IF(A4511="","",TEXT(A4511,"mmm-yyyy"))</f>
        <v/>
      </c>
    </row>
    <row r="4512">
      <c r="D4512">
        <f>IFERROR(XLOOKUP(C4512,'Vendor Master'!$A$6:$A$15,'Vendor Master'!$B$6:$B$15,""),"")</f>
        <v/>
      </c>
      <c r="J4512">
        <f>IF(A4512="","",TEXT(A4512,"mmm-yyyy"))</f>
        <v/>
      </c>
    </row>
    <row r="4513">
      <c r="D4513">
        <f>IFERROR(XLOOKUP(C4513,'Vendor Master'!$A$6:$A$15,'Vendor Master'!$B$6:$B$15,""),"")</f>
        <v/>
      </c>
      <c r="J4513">
        <f>IF(A4513="","",TEXT(A4513,"mmm-yyyy"))</f>
        <v/>
      </c>
    </row>
    <row r="4514">
      <c r="D4514">
        <f>IFERROR(XLOOKUP(C4514,'Vendor Master'!$A$6:$A$15,'Vendor Master'!$B$6:$B$15,""),"")</f>
        <v/>
      </c>
      <c r="J4514">
        <f>IF(A4514="","",TEXT(A4514,"mmm-yyyy"))</f>
        <v/>
      </c>
    </row>
    <row r="4515">
      <c r="D4515">
        <f>IFERROR(XLOOKUP(C4515,'Vendor Master'!$A$6:$A$15,'Vendor Master'!$B$6:$B$15,""),"")</f>
        <v/>
      </c>
      <c r="J4515">
        <f>IF(A4515="","",TEXT(A4515,"mmm-yyyy"))</f>
        <v/>
      </c>
    </row>
    <row r="4516">
      <c r="D4516">
        <f>IFERROR(XLOOKUP(C4516,'Vendor Master'!$A$6:$A$15,'Vendor Master'!$B$6:$B$15,""),"")</f>
        <v/>
      </c>
      <c r="J4516">
        <f>IF(A4516="","",TEXT(A4516,"mmm-yyyy"))</f>
        <v/>
      </c>
    </row>
    <row r="4517">
      <c r="D4517">
        <f>IFERROR(XLOOKUP(C4517,'Vendor Master'!$A$6:$A$15,'Vendor Master'!$B$6:$B$15,""),"")</f>
        <v/>
      </c>
      <c r="J4517">
        <f>IF(A4517="","",TEXT(A4517,"mmm-yyyy"))</f>
        <v/>
      </c>
    </row>
    <row r="4518">
      <c r="D4518">
        <f>IFERROR(XLOOKUP(C4518,'Vendor Master'!$A$6:$A$15,'Vendor Master'!$B$6:$B$15,""),"")</f>
        <v/>
      </c>
      <c r="J4518">
        <f>IF(A4518="","",TEXT(A4518,"mmm-yyyy"))</f>
        <v/>
      </c>
    </row>
    <row r="4519">
      <c r="D4519">
        <f>IFERROR(XLOOKUP(C4519,'Vendor Master'!$A$6:$A$15,'Vendor Master'!$B$6:$B$15,""),"")</f>
        <v/>
      </c>
      <c r="J4519">
        <f>IF(A4519="","",TEXT(A4519,"mmm-yyyy"))</f>
        <v/>
      </c>
    </row>
    <row r="4520">
      <c r="D4520">
        <f>IFERROR(XLOOKUP(C4520,'Vendor Master'!$A$6:$A$15,'Vendor Master'!$B$6:$B$15,""),"")</f>
        <v/>
      </c>
      <c r="J4520">
        <f>IF(A4520="","",TEXT(A4520,"mmm-yyyy"))</f>
        <v/>
      </c>
    </row>
    <row r="4521">
      <c r="D4521">
        <f>IFERROR(XLOOKUP(C4521,'Vendor Master'!$A$6:$A$15,'Vendor Master'!$B$6:$B$15,""),"")</f>
        <v/>
      </c>
      <c r="J4521">
        <f>IF(A4521="","",TEXT(A4521,"mmm-yyyy"))</f>
        <v/>
      </c>
    </row>
    <row r="4522">
      <c r="D4522">
        <f>IFERROR(XLOOKUP(C4522,'Vendor Master'!$A$6:$A$15,'Vendor Master'!$B$6:$B$15,""),"")</f>
        <v/>
      </c>
      <c r="J4522">
        <f>IF(A4522="","",TEXT(A4522,"mmm-yyyy"))</f>
        <v/>
      </c>
    </row>
    <row r="4523">
      <c r="D4523">
        <f>IFERROR(XLOOKUP(C4523,'Vendor Master'!$A$6:$A$15,'Vendor Master'!$B$6:$B$15,""),"")</f>
        <v/>
      </c>
      <c r="J4523">
        <f>IF(A4523="","",TEXT(A4523,"mmm-yyyy"))</f>
        <v/>
      </c>
    </row>
    <row r="4524">
      <c r="D4524">
        <f>IFERROR(XLOOKUP(C4524,'Vendor Master'!$A$6:$A$15,'Vendor Master'!$B$6:$B$15,""),"")</f>
        <v/>
      </c>
      <c r="J4524">
        <f>IF(A4524="","",TEXT(A4524,"mmm-yyyy"))</f>
        <v/>
      </c>
    </row>
    <row r="4525">
      <c r="D4525">
        <f>IFERROR(XLOOKUP(C4525,'Vendor Master'!$A$6:$A$15,'Vendor Master'!$B$6:$B$15,""),"")</f>
        <v/>
      </c>
      <c r="J4525">
        <f>IF(A4525="","",TEXT(A4525,"mmm-yyyy"))</f>
        <v/>
      </c>
    </row>
    <row r="4526">
      <c r="D4526">
        <f>IFERROR(XLOOKUP(C4526,'Vendor Master'!$A$6:$A$15,'Vendor Master'!$B$6:$B$15,""),"")</f>
        <v/>
      </c>
      <c r="J4526">
        <f>IF(A4526="","",TEXT(A4526,"mmm-yyyy"))</f>
        <v/>
      </c>
    </row>
    <row r="4527">
      <c r="D4527">
        <f>IFERROR(XLOOKUP(C4527,'Vendor Master'!$A$6:$A$15,'Vendor Master'!$B$6:$B$15,""),"")</f>
        <v/>
      </c>
      <c r="J4527">
        <f>IF(A4527="","",TEXT(A4527,"mmm-yyyy"))</f>
        <v/>
      </c>
    </row>
    <row r="4528">
      <c r="D4528">
        <f>IFERROR(XLOOKUP(C4528,'Vendor Master'!$A$6:$A$15,'Vendor Master'!$B$6:$B$15,""),"")</f>
        <v/>
      </c>
      <c r="J4528">
        <f>IF(A4528="","",TEXT(A4528,"mmm-yyyy"))</f>
        <v/>
      </c>
    </row>
    <row r="4529">
      <c r="D4529">
        <f>IFERROR(XLOOKUP(C4529,'Vendor Master'!$A$6:$A$15,'Vendor Master'!$B$6:$B$15,""),"")</f>
        <v/>
      </c>
      <c r="J4529">
        <f>IF(A4529="","",TEXT(A4529,"mmm-yyyy"))</f>
        <v/>
      </c>
    </row>
    <row r="4530">
      <c r="D4530">
        <f>IFERROR(XLOOKUP(C4530,'Vendor Master'!$A$6:$A$15,'Vendor Master'!$B$6:$B$15,""),"")</f>
        <v/>
      </c>
      <c r="J4530">
        <f>IF(A4530="","",TEXT(A4530,"mmm-yyyy"))</f>
        <v/>
      </c>
    </row>
    <row r="4531">
      <c r="D4531">
        <f>IFERROR(XLOOKUP(C4531,'Vendor Master'!$A$6:$A$15,'Vendor Master'!$B$6:$B$15,""),"")</f>
        <v/>
      </c>
      <c r="J4531">
        <f>IF(A4531="","",TEXT(A4531,"mmm-yyyy"))</f>
        <v/>
      </c>
    </row>
    <row r="4532">
      <c r="D4532">
        <f>IFERROR(XLOOKUP(C4532,'Vendor Master'!$A$6:$A$15,'Vendor Master'!$B$6:$B$15,""),"")</f>
        <v/>
      </c>
      <c r="J4532">
        <f>IF(A4532="","",TEXT(A4532,"mmm-yyyy"))</f>
        <v/>
      </c>
    </row>
    <row r="4533">
      <c r="D4533">
        <f>IFERROR(XLOOKUP(C4533,'Vendor Master'!$A$6:$A$15,'Vendor Master'!$B$6:$B$15,""),"")</f>
        <v/>
      </c>
      <c r="J4533">
        <f>IF(A4533="","",TEXT(A4533,"mmm-yyyy"))</f>
        <v/>
      </c>
    </row>
    <row r="4534">
      <c r="D4534">
        <f>IFERROR(XLOOKUP(C4534,'Vendor Master'!$A$6:$A$15,'Vendor Master'!$B$6:$B$15,""),"")</f>
        <v/>
      </c>
      <c r="J4534">
        <f>IF(A4534="","",TEXT(A4534,"mmm-yyyy"))</f>
        <v/>
      </c>
    </row>
    <row r="4535">
      <c r="D4535">
        <f>IFERROR(XLOOKUP(C4535,'Vendor Master'!$A$6:$A$15,'Vendor Master'!$B$6:$B$15,""),"")</f>
        <v/>
      </c>
      <c r="J4535">
        <f>IF(A4535="","",TEXT(A4535,"mmm-yyyy"))</f>
        <v/>
      </c>
    </row>
    <row r="4536">
      <c r="D4536">
        <f>IFERROR(XLOOKUP(C4536,'Vendor Master'!$A$6:$A$15,'Vendor Master'!$B$6:$B$15,""),"")</f>
        <v/>
      </c>
      <c r="J4536">
        <f>IF(A4536="","",TEXT(A4536,"mmm-yyyy"))</f>
        <v/>
      </c>
    </row>
    <row r="4537">
      <c r="D4537">
        <f>IFERROR(XLOOKUP(C4537,'Vendor Master'!$A$6:$A$15,'Vendor Master'!$B$6:$B$15,""),"")</f>
        <v/>
      </c>
      <c r="J4537">
        <f>IF(A4537="","",TEXT(A4537,"mmm-yyyy"))</f>
        <v/>
      </c>
    </row>
    <row r="4538">
      <c r="D4538">
        <f>IFERROR(XLOOKUP(C4538,'Vendor Master'!$A$6:$A$15,'Vendor Master'!$B$6:$B$15,""),"")</f>
        <v/>
      </c>
      <c r="J4538">
        <f>IF(A4538="","",TEXT(A4538,"mmm-yyyy"))</f>
        <v/>
      </c>
    </row>
    <row r="4539">
      <c r="D4539">
        <f>IFERROR(XLOOKUP(C4539,'Vendor Master'!$A$6:$A$15,'Vendor Master'!$B$6:$B$15,""),"")</f>
        <v/>
      </c>
      <c r="J4539">
        <f>IF(A4539="","",TEXT(A4539,"mmm-yyyy"))</f>
        <v/>
      </c>
    </row>
    <row r="4540">
      <c r="D4540">
        <f>IFERROR(XLOOKUP(C4540,'Vendor Master'!$A$6:$A$15,'Vendor Master'!$B$6:$B$15,""),"")</f>
        <v/>
      </c>
      <c r="J4540">
        <f>IF(A4540="","",TEXT(A4540,"mmm-yyyy"))</f>
        <v/>
      </c>
    </row>
    <row r="4541">
      <c r="D4541">
        <f>IFERROR(XLOOKUP(C4541,'Vendor Master'!$A$6:$A$15,'Vendor Master'!$B$6:$B$15,""),"")</f>
        <v/>
      </c>
      <c r="J4541">
        <f>IF(A4541="","",TEXT(A4541,"mmm-yyyy"))</f>
        <v/>
      </c>
    </row>
    <row r="4542">
      <c r="D4542">
        <f>IFERROR(XLOOKUP(C4542,'Vendor Master'!$A$6:$A$15,'Vendor Master'!$B$6:$B$15,""),"")</f>
        <v/>
      </c>
      <c r="J4542">
        <f>IF(A4542="","",TEXT(A4542,"mmm-yyyy"))</f>
        <v/>
      </c>
    </row>
    <row r="4543">
      <c r="D4543">
        <f>IFERROR(XLOOKUP(C4543,'Vendor Master'!$A$6:$A$15,'Vendor Master'!$B$6:$B$15,""),"")</f>
        <v/>
      </c>
      <c r="J4543">
        <f>IF(A4543="","",TEXT(A4543,"mmm-yyyy"))</f>
        <v/>
      </c>
    </row>
    <row r="4544">
      <c r="D4544">
        <f>IFERROR(XLOOKUP(C4544,'Vendor Master'!$A$6:$A$15,'Vendor Master'!$B$6:$B$15,""),"")</f>
        <v/>
      </c>
      <c r="J4544">
        <f>IF(A4544="","",TEXT(A4544,"mmm-yyyy"))</f>
        <v/>
      </c>
    </row>
    <row r="4545">
      <c r="D4545">
        <f>IFERROR(XLOOKUP(C4545,'Vendor Master'!$A$6:$A$15,'Vendor Master'!$B$6:$B$15,""),"")</f>
        <v/>
      </c>
      <c r="J4545">
        <f>IF(A4545="","",TEXT(A4545,"mmm-yyyy"))</f>
        <v/>
      </c>
    </row>
    <row r="4546">
      <c r="D4546">
        <f>IFERROR(XLOOKUP(C4546,'Vendor Master'!$A$6:$A$15,'Vendor Master'!$B$6:$B$15,""),"")</f>
        <v/>
      </c>
      <c r="J4546">
        <f>IF(A4546="","",TEXT(A4546,"mmm-yyyy"))</f>
        <v/>
      </c>
    </row>
    <row r="4547">
      <c r="D4547">
        <f>IFERROR(XLOOKUP(C4547,'Vendor Master'!$A$6:$A$15,'Vendor Master'!$B$6:$B$15,""),"")</f>
        <v/>
      </c>
      <c r="J4547">
        <f>IF(A4547="","",TEXT(A4547,"mmm-yyyy"))</f>
        <v/>
      </c>
    </row>
    <row r="4548">
      <c r="D4548">
        <f>IFERROR(XLOOKUP(C4548,'Vendor Master'!$A$6:$A$15,'Vendor Master'!$B$6:$B$15,""),"")</f>
        <v/>
      </c>
      <c r="J4548">
        <f>IF(A4548="","",TEXT(A4548,"mmm-yyyy"))</f>
        <v/>
      </c>
    </row>
    <row r="4549">
      <c r="D4549">
        <f>IFERROR(XLOOKUP(C4549,'Vendor Master'!$A$6:$A$15,'Vendor Master'!$B$6:$B$15,""),"")</f>
        <v/>
      </c>
      <c r="J4549">
        <f>IF(A4549="","",TEXT(A4549,"mmm-yyyy"))</f>
        <v/>
      </c>
    </row>
    <row r="4550">
      <c r="D4550">
        <f>IFERROR(XLOOKUP(C4550,'Vendor Master'!$A$6:$A$15,'Vendor Master'!$B$6:$B$15,""),"")</f>
        <v/>
      </c>
      <c r="J4550">
        <f>IF(A4550="","",TEXT(A4550,"mmm-yyyy"))</f>
        <v/>
      </c>
    </row>
    <row r="4551">
      <c r="D4551">
        <f>IFERROR(XLOOKUP(C4551,'Vendor Master'!$A$6:$A$15,'Vendor Master'!$B$6:$B$15,""),"")</f>
        <v/>
      </c>
      <c r="J4551">
        <f>IF(A4551="","",TEXT(A4551,"mmm-yyyy"))</f>
        <v/>
      </c>
    </row>
    <row r="4552">
      <c r="D4552">
        <f>IFERROR(XLOOKUP(C4552,'Vendor Master'!$A$6:$A$15,'Vendor Master'!$B$6:$B$15,""),"")</f>
        <v/>
      </c>
      <c r="J4552">
        <f>IF(A4552="","",TEXT(A4552,"mmm-yyyy"))</f>
        <v/>
      </c>
    </row>
    <row r="4553">
      <c r="D4553">
        <f>IFERROR(XLOOKUP(C4553,'Vendor Master'!$A$6:$A$15,'Vendor Master'!$B$6:$B$15,""),"")</f>
        <v/>
      </c>
      <c r="J4553">
        <f>IF(A4553="","",TEXT(A4553,"mmm-yyyy"))</f>
        <v/>
      </c>
    </row>
    <row r="4554">
      <c r="D4554">
        <f>IFERROR(XLOOKUP(C4554,'Vendor Master'!$A$6:$A$15,'Vendor Master'!$B$6:$B$15,""),"")</f>
        <v/>
      </c>
      <c r="J4554">
        <f>IF(A4554="","",TEXT(A4554,"mmm-yyyy"))</f>
        <v/>
      </c>
    </row>
    <row r="4555">
      <c r="D4555">
        <f>IFERROR(XLOOKUP(C4555,'Vendor Master'!$A$6:$A$15,'Vendor Master'!$B$6:$B$15,""),"")</f>
        <v/>
      </c>
      <c r="J4555">
        <f>IF(A4555="","",TEXT(A4555,"mmm-yyyy"))</f>
        <v/>
      </c>
    </row>
    <row r="4556">
      <c r="D4556">
        <f>IFERROR(XLOOKUP(C4556,'Vendor Master'!$A$6:$A$15,'Vendor Master'!$B$6:$B$15,""),"")</f>
        <v/>
      </c>
      <c r="J4556">
        <f>IF(A4556="","",TEXT(A4556,"mmm-yyyy"))</f>
        <v/>
      </c>
    </row>
    <row r="4557">
      <c r="D4557">
        <f>IFERROR(XLOOKUP(C4557,'Vendor Master'!$A$6:$A$15,'Vendor Master'!$B$6:$B$15,""),"")</f>
        <v/>
      </c>
      <c r="J4557">
        <f>IF(A4557="","",TEXT(A4557,"mmm-yyyy"))</f>
        <v/>
      </c>
    </row>
    <row r="4558">
      <c r="D4558">
        <f>IFERROR(XLOOKUP(C4558,'Vendor Master'!$A$6:$A$15,'Vendor Master'!$B$6:$B$15,""),"")</f>
        <v/>
      </c>
      <c r="J4558">
        <f>IF(A4558="","",TEXT(A4558,"mmm-yyyy"))</f>
        <v/>
      </c>
    </row>
    <row r="4559">
      <c r="D4559">
        <f>IFERROR(XLOOKUP(C4559,'Vendor Master'!$A$6:$A$15,'Vendor Master'!$B$6:$B$15,""),"")</f>
        <v/>
      </c>
      <c r="J4559">
        <f>IF(A4559="","",TEXT(A4559,"mmm-yyyy"))</f>
        <v/>
      </c>
    </row>
    <row r="4560">
      <c r="D4560">
        <f>IFERROR(XLOOKUP(C4560,'Vendor Master'!$A$6:$A$15,'Vendor Master'!$B$6:$B$15,""),"")</f>
        <v/>
      </c>
      <c r="J4560">
        <f>IF(A4560="","",TEXT(A4560,"mmm-yyyy"))</f>
        <v/>
      </c>
    </row>
    <row r="4561">
      <c r="D4561">
        <f>IFERROR(XLOOKUP(C4561,'Vendor Master'!$A$6:$A$15,'Vendor Master'!$B$6:$B$15,""),"")</f>
        <v/>
      </c>
      <c r="J4561">
        <f>IF(A4561="","",TEXT(A4561,"mmm-yyyy"))</f>
        <v/>
      </c>
    </row>
    <row r="4562">
      <c r="D4562">
        <f>IFERROR(XLOOKUP(C4562,'Vendor Master'!$A$6:$A$15,'Vendor Master'!$B$6:$B$15,""),"")</f>
        <v/>
      </c>
      <c r="J4562">
        <f>IF(A4562="","",TEXT(A4562,"mmm-yyyy"))</f>
        <v/>
      </c>
    </row>
    <row r="4563">
      <c r="D4563">
        <f>IFERROR(XLOOKUP(C4563,'Vendor Master'!$A$6:$A$15,'Vendor Master'!$B$6:$B$15,""),"")</f>
        <v/>
      </c>
      <c r="J4563">
        <f>IF(A4563="","",TEXT(A4563,"mmm-yyyy"))</f>
        <v/>
      </c>
    </row>
    <row r="4564">
      <c r="D4564">
        <f>IFERROR(XLOOKUP(C4564,'Vendor Master'!$A$6:$A$15,'Vendor Master'!$B$6:$B$15,""),"")</f>
        <v/>
      </c>
      <c r="J4564">
        <f>IF(A4564="","",TEXT(A4564,"mmm-yyyy"))</f>
        <v/>
      </c>
    </row>
    <row r="4565">
      <c r="D4565">
        <f>IFERROR(XLOOKUP(C4565,'Vendor Master'!$A$6:$A$15,'Vendor Master'!$B$6:$B$15,""),"")</f>
        <v/>
      </c>
      <c r="J4565">
        <f>IF(A4565="","",TEXT(A4565,"mmm-yyyy"))</f>
        <v/>
      </c>
    </row>
    <row r="4566">
      <c r="D4566">
        <f>IFERROR(XLOOKUP(C4566,'Vendor Master'!$A$6:$A$15,'Vendor Master'!$B$6:$B$15,""),"")</f>
        <v/>
      </c>
      <c r="J4566">
        <f>IF(A4566="","",TEXT(A4566,"mmm-yyyy"))</f>
        <v/>
      </c>
    </row>
    <row r="4567">
      <c r="D4567">
        <f>IFERROR(XLOOKUP(C4567,'Vendor Master'!$A$6:$A$15,'Vendor Master'!$B$6:$B$15,""),"")</f>
        <v/>
      </c>
      <c r="J4567">
        <f>IF(A4567="","",TEXT(A4567,"mmm-yyyy"))</f>
        <v/>
      </c>
    </row>
    <row r="4568">
      <c r="D4568">
        <f>IFERROR(XLOOKUP(C4568,'Vendor Master'!$A$6:$A$15,'Vendor Master'!$B$6:$B$15,""),"")</f>
        <v/>
      </c>
      <c r="J4568">
        <f>IF(A4568="","",TEXT(A4568,"mmm-yyyy"))</f>
        <v/>
      </c>
    </row>
    <row r="4569">
      <c r="D4569">
        <f>IFERROR(XLOOKUP(C4569,'Vendor Master'!$A$6:$A$15,'Vendor Master'!$B$6:$B$15,""),"")</f>
        <v/>
      </c>
      <c r="J4569">
        <f>IF(A4569="","",TEXT(A4569,"mmm-yyyy"))</f>
        <v/>
      </c>
    </row>
    <row r="4570">
      <c r="D4570">
        <f>IFERROR(XLOOKUP(C4570,'Vendor Master'!$A$6:$A$15,'Vendor Master'!$B$6:$B$15,""),"")</f>
        <v/>
      </c>
      <c r="J4570">
        <f>IF(A4570="","",TEXT(A4570,"mmm-yyyy"))</f>
        <v/>
      </c>
    </row>
    <row r="4571">
      <c r="D4571">
        <f>IFERROR(XLOOKUP(C4571,'Vendor Master'!$A$6:$A$15,'Vendor Master'!$B$6:$B$15,""),"")</f>
        <v/>
      </c>
      <c r="J4571">
        <f>IF(A4571="","",TEXT(A4571,"mmm-yyyy"))</f>
        <v/>
      </c>
    </row>
    <row r="4572">
      <c r="D4572">
        <f>IFERROR(XLOOKUP(C4572,'Vendor Master'!$A$6:$A$15,'Vendor Master'!$B$6:$B$15,""),"")</f>
        <v/>
      </c>
      <c r="J4572">
        <f>IF(A4572="","",TEXT(A4572,"mmm-yyyy"))</f>
        <v/>
      </c>
    </row>
    <row r="4573">
      <c r="D4573">
        <f>IFERROR(XLOOKUP(C4573,'Vendor Master'!$A$6:$A$15,'Vendor Master'!$B$6:$B$15,""),"")</f>
        <v/>
      </c>
      <c r="J4573">
        <f>IF(A4573="","",TEXT(A4573,"mmm-yyyy"))</f>
        <v/>
      </c>
    </row>
    <row r="4574">
      <c r="D4574">
        <f>IFERROR(XLOOKUP(C4574,'Vendor Master'!$A$6:$A$15,'Vendor Master'!$B$6:$B$15,""),"")</f>
        <v/>
      </c>
      <c r="J4574">
        <f>IF(A4574="","",TEXT(A4574,"mmm-yyyy"))</f>
        <v/>
      </c>
    </row>
    <row r="4575">
      <c r="D4575">
        <f>IFERROR(XLOOKUP(C4575,'Vendor Master'!$A$6:$A$15,'Vendor Master'!$B$6:$B$15,""),"")</f>
        <v/>
      </c>
      <c r="J4575">
        <f>IF(A4575="","",TEXT(A4575,"mmm-yyyy"))</f>
        <v/>
      </c>
    </row>
    <row r="4576">
      <c r="D4576">
        <f>IFERROR(XLOOKUP(C4576,'Vendor Master'!$A$6:$A$15,'Vendor Master'!$B$6:$B$15,""),"")</f>
        <v/>
      </c>
      <c r="J4576">
        <f>IF(A4576="","",TEXT(A4576,"mmm-yyyy"))</f>
        <v/>
      </c>
    </row>
    <row r="4577">
      <c r="D4577">
        <f>IFERROR(XLOOKUP(C4577,'Vendor Master'!$A$6:$A$15,'Vendor Master'!$B$6:$B$15,""),"")</f>
        <v/>
      </c>
      <c r="J4577">
        <f>IF(A4577="","",TEXT(A4577,"mmm-yyyy"))</f>
        <v/>
      </c>
    </row>
    <row r="4578">
      <c r="D4578">
        <f>IFERROR(XLOOKUP(C4578,'Vendor Master'!$A$6:$A$15,'Vendor Master'!$B$6:$B$15,""),"")</f>
        <v/>
      </c>
      <c r="J4578">
        <f>IF(A4578="","",TEXT(A4578,"mmm-yyyy"))</f>
        <v/>
      </c>
    </row>
    <row r="4579">
      <c r="D4579">
        <f>IFERROR(XLOOKUP(C4579,'Vendor Master'!$A$6:$A$15,'Vendor Master'!$B$6:$B$15,""),"")</f>
        <v/>
      </c>
      <c r="J4579">
        <f>IF(A4579="","",TEXT(A4579,"mmm-yyyy"))</f>
        <v/>
      </c>
    </row>
    <row r="4580">
      <c r="D4580">
        <f>IFERROR(XLOOKUP(C4580,'Vendor Master'!$A$6:$A$15,'Vendor Master'!$B$6:$B$15,""),"")</f>
        <v/>
      </c>
      <c r="J4580">
        <f>IF(A4580="","",TEXT(A4580,"mmm-yyyy"))</f>
        <v/>
      </c>
    </row>
    <row r="4581">
      <c r="D4581">
        <f>IFERROR(XLOOKUP(C4581,'Vendor Master'!$A$6:$A$15,'Vendor Master'!$B$6:$B$15,""),"")</f>
        <v/>
      </c>
      <c r="J4581">
        <f>IF(A4581="","",TEXT(A4581,"mmm-yyyy"))</f>
        <v/>
      </c>
    </row>
    <row r="4582">
      <c r="D4582">
        <f>IFERROR(XLOOKUP(C4582,'Vendor Master'!$A$6:$A$15,'Vendor Master'!$B$6:$B$15,""),"")</f>
        <v/>
      </c>
      <c r="J4582">
        <f>IF(A4582="","",TEXT(A4582,"mmm-yyyy"))</f>
        <v/>
      </c>
    </row>
    <row r="4583">
      <c r="D4583">
        <f>IFERROR(XLOOKUP(C4583,'Vendor Master'!$A$6:$A$15,'Vendor Master'!$B$6:$B$15,""),"")</f>
        <v/>
      </c>
      <c r="J4583">
        <f>IF(A4583="","",TEXT(A4583,"mmm-yyyy"))</f>
        <v/>
      </c>
    </row>
    <row r="4584">
      <c r="D4584">
        <f>IFERROR(XLOOKUP(C4584,'Vendor Master'!$A$6:$A$15,'Vendor Master'!$B$6:$B$15,""),"")</f>
        <v/>
      </c>
      <c r="J4584">
        <f>IF(A4584="","",TEXT(A4584,"mmm-yyyy"))</f>
        <v/>
      </c>
    </row>
    <row r="4585">
      <c r="D4585">
        <f>IFERROR(XLOOKUP(C4585,'Vendor Master'!$A$6:$A$15,'Vendor Master'!$B$6:$B$15,""),"")</f>
        <v/>
      </c>
      <c r="J4585">
        <f>IF(A4585="","",TEXT(A4585,"mmm-yyyy"))</f>
        <v/>
      </c>
    </row>
    <row r="4586">
      <c r="D4586">
        <f>IFERROR(XLOOKUP(C4586,'Vendor Master'!$A$6:$A$15,'Vendor Master'!$B$6:$B$15,""),"")</f>
        <v/>
      </c>
      <c r="J4586">
        <f>IF(A4586="","",TEXT(A4586,"mmm-yyyy"))</f>
        <v/>
      </c>
    </row>
    <row r="4587">
      <c r="D4587">
        <f>IFERROR(XLOOKUP(C4587,'Vendor Master'!$A$6:$A$15,'Vendor Master'!$B$6:$B$15,""),"")</f>
        <v/>
      </c>
      <c r="J4587">
        <f>IF(A4587="","",TEXT(A4587,"mmm-yyyy"))</f>
        <v/>
      </c>
    </row>
    <row r="4588">
      <c r="D4588">
        <f>IFERROR(XLOOKUP(C4588,'Vendor Master'!$A$6:$A$15,'Vendor Master'!$B$6:$B$15,""),"")</f>
        <v/>
      </c>
      <c r="J4588">
        <f>IF(A4588="","",TEXT(A4588,"mmm-yyyy"))</f>
        <v/>
      </c>
    </row>
    <row r="4589">
      <c r="D4589">
        <f>IFERROR(XLOOKUP(C4589,'Vendor Master'!$A$6:$A$15,'Vendor Master'!$B$6:$B$15,""),"")</f>
        <v/>
      </c>
      <c r="J4589">
        <f>IF(A4589="","",TEXT(A4589,"mmm-yyyy"))</f>
        <v/>
      </c>
    </row>
    <row r="4590">
      <c r="D4590">
        <f>IFERROR(XLOOKUP(C4590,'Vendor Master'!$A$6:$A$15,'Vendor Master'!$B$6:$B$15,""),"")</f>
        <v/>
      </c>
      <c r="J4590">
        <f>IF(A4590="","",TEXT(A4590,"mmm-yyyy"))</f>
        <v/>
      </c>
    </row>
    <row r="4591">
      <c r="D4591">
        <f>IFERROR(XLOOKUP(C4591,'Vendor Master'!$A$6:$A$15,'Vendor Master'!$B$6:$B$15,""),"")</f>
        <v/>
      </c>
      <c r="J4591">
        <f>IF(A4591="","",TEXT(A4591,"mmm-yyyy"))</f>
        <v/>
      </c>
    </row>
    <row r="4592">
      <c r="D4592">
        <f>IFERROR(XLOOKUP(C4592,'Vendor Master'!$A$6:$A$15,'Vendor Master'!$B$6:$B$15,""),"")</f>
        <v/>
      </c>
      <c r="J4592">
        <f>IF(A4592="","",TEXT(A4592,"mmm-yyyy"))</f>
        <v/>
      </c>
    </row>
    <row r="4593">
      <c r="D4593">
        <f>IFERROR(XLOOKUP(C4593,'Vendor Master'!$A$6:$A$15,'Vendor Master'!$B$6:$B$15,""),"")</f>
        <v/>
      </c>
      <c r="J4593">
        <f>IF(A4593="","",TEXT(A4593,"mmm-yyyy"))</f>
        <v/>
      </c>
    </row>
    <row r="4594">
      <c r="D4594">
        <f>IFERROR(XLOOKUP(C4594,'Vendor Master'!$A$6:$A$15,'Vendor Master'!$B$6:$B$15,""),"")</f>
        <v/>
      </c>
      <c r="J4594">
        <f>IF(A4594="","",TEXT(A4594,"mmm-yyyy"))</f>
        <v/>
      </c>
    </row>
    <row r="4595">
      <c r="D4595">
        <f>IFERROR(XLOOKUP(C4595,'Vendor Master'!$A$6:$A$15,'Vendor Master'!$B$6:$B$15,""),"")</f>
        <v/>
      </c>
      <c r="J4595">
        <f>IF(A4595="","",TEXT(A4595,"mmm-yyyy"))</f>
        <v/>
      </c>
    </row>
    <row r="4596">
      <c r="D4596">
        <f>IFERROR(XLOOKUP(C4596,'Vendor Master'!$A$6:$A$15,'Vendor Master'!$B$6:$B$15,""),"")</f>
        <v/>
      </c>
      <c r="J4596">
        <f>IF(A4596="","",TEXT(A4596,"mmm-yyyy"))</f>
        <v/>
      </c>
    </row>
    <row r="4597">
      <c r="D4597">
        <f>IFERROR(XLOOKUP(C4597,'Vendor Master'!$A$6:$A$15,'Vendor Master'!$B$6:$B$15,""),"")</f>
        <v/>
      </c>
      <c r="J4597">
        <f>IF(A4597="","",TEXT(A4597,"mmm-yyyy"))</f>
        <v/>
      </c>
    </row>
    <row r="4598">
      <c r="D4598">
        <f>IFERROR(XLOOKUP(C4598,'Vendor Master'!$A$6:$A$15,'Vendor Master'!$B$6:$B$15,""),"")</f>
        <v/>
      </c>
      <c r="J4598">
        <f>IF(A4598="","",TEXT(A4598,"mmm-yyyy"))</f>
        <v/>
      </c>
    </row>
    <row r="4599">
      <c r="D4599">
        <f>IFERROR(XLOOKUP(C4599,'Vendor Master'!$A$6:$A$15,'Vendor Master'!$B$6:$B$15,""),"")</f>
        <v/>
      </c>
      <c r="J4599">
        <f>IF(A4599="","",TEXT(A4599,"mmm-yyyy"))</f>
        <v/>
      </c>
    </row>
    <row r="4600">
      <c r="D4600">
        <f>IFERROR(XLOOKUP(C4600,'Vendor Master'!$A$6:$A$15,'Vendor Master'!$B$6:$B$15,""),"")</f>
        <v/>
      </c>
      <c r="J4600">
        <f>IF(A4600="","",TEXT(A4600,"mmm-yyyy"))</f>
        <v/>
      </c>
    </row>
    <row r="4601">
      <c r="D4601">
        <f>IFERROR(XLOOKUP(C4601,'Vendor Master'!$A$6:$A$15,'Vendor Master'!$B$6:$B$15,""),"")</f>
        <v/>
      </c>
      <c r="J4601">
        <f>IF(A4601="","",TEXT(A4601,"mmm-yyyy"))</f>
        <v/>
      </c>
    </row>
    <row r="4602">
      <c r="D4602">
        <f>IFERROR(XLOOKUP(C4602,'Vendor Master'!$A$6:$A$15,'Vendor Master'!$B$6:$B$15,""),"")</f>
        <v/>
      </c>
      <c r="J4602">
        <f>IF(A4602="","",TEXT(A4602,"mmm-yyyy"))</f>
        <v/>
      </c>
    </row>
    <row r="4603">
      <c r="D4603">
        <f>IFERROR(XLOOKUP(C4603,'Vendor Master'!$A$6:$A$15,'Vendor Master'!$B$6:$B$15,""),"")</f>
        <v/>
      </c>
      <c r="J4603">
        <f>IF(A4603="","",TEXT(A4603,"mmm-yyyy"))</f>
        <v/>
      </c>
    </row>
    <row r="4604">
      <c r="D4604">
        <f>IFERROR(XLOOKUP(C4604,'Vendor Master'!$A$6:$A$15,'Vendor Master'!$B$6:$B$15,""),"")</f>
        <v/>
      </c>
      <c r="J4604">
        <f>IF(A4604="","",TEXT(A4604,"mmm-yyyy"))</f>
        <v/>
      </c>
    </row>
    <row r="4605">
      <c r="D4605">
        <f>IFERROR(XLOOKUP(C4605,'Vendor Master'!$A$6:$A$15,'Vendor Master'!$B$6:$B$15,""),"")</f>
        <v/>
      </c>
      <c r="J4605">
        <f>IF(A4605="","",TEXT(A4605,"mmm-yyyy"))</f>
        <v/>
      </c>
    </row>
    <row r="4606">
      <c r="D4606">
        <f>IFERROR(XLOOKUP(C4606,'Vendor Master'!$A$6:$A$15,'Vendor Master'!$B$6:$B$15,""),"")</f>
        <v/>
      </c>
      <c r="J4606">
        <f>IF(A4606="","",TEXT(A4606,"mmm-yyyy"))</f>
        <v/>
      </c>
    </row>
    <row r="4607">
      <c r="D4607">
        <f>IFERROR(XLOOKUP(C4607,'Vendor Master'!$A$6:$A$15,'Vendor Master'!$B$6:$B$15,""),"")</f>
        <v/>
      </c>
      <c r="J4607">
        <f>IF(A4607="","",TEXT(A4607,"mmm-yyyy"))</f>
        <v/>
      </c>
    </row>
    <row r="4608">
      <c r="D4608">
        <f>IFERROR(XLOOKUP(C4608,'Vendor Master'!$A$6:$A$15,'Vendor Master'!$B$6:$B$15,""),"")</f>
        <v/>
      </c>
      <c r="J4608">
        <f>IF(A4608="","",TEXT(A4608,"mmm-yyyy"))</f>
        <v/>
      </c>
    </row>
    <row r="4609">
      <c r="D4609">
        <f>IFERROR(XLOOKUP(C4609,'Vendor Master'!$A$6:$A$15,'Vendor Master'!$B$6:$B$15,""),"")</f>
        <v/>
      </c>
      <c r="J4609">
        <f>IF(A4609="","",TEXT(A4609,"mmm-yyyy"))</f>
        <v/>
      </c>
    </row>
    <row r="4610">
      <c r="D4610">
        <f>IFERROR(XLOOKUP(C4610,'Vendor Master'!$A$6:$A$15,'Vendor Master'!$B$6:$B$15,""),"")</f>
        <v/>
      </c>
      <c r="J4610">
        <f>IF(A4610="","",TEXT(A4610,"mmm-yyyy"))</f>
        <v/>
      </c>
    </row>
    <row r="4611">
      <c r="D4611">
        <f>IFERROR(XLOOKUP(C4611,'Vendor Master'!$A$6:$A$15,'Vendor Master'!$B$6:$B$15,""),"")</f>
        <v/>
      </c>
      <c r="J4611">
        <f>IF(A4611="","",TEXT(A4611,"mmm-yyyy"))</f>
        <v/>
      </c>
    </row>
    <row r="4612">
      <c r="D4612">
        <f>IFERROR(XLOOKUP(C4612,'Vendor Master'!$A$6:$A$15,'Vendor Master'!$B$6:$B$15,""),"")</f>
        <v/>
      </c>
      <c r="J4612">
        <f>IF(A4612="","",TEXT(A4612,"mmm-yyyy"))</f>
        <v/>
      </c>
    </row>
    <row r="4613">
      <c r="D4613">
        <f>IFERROR(XLOOKUP(C4613,'Vendor Master'!$A$6:$A$15,'Vendor Master'!$B$6:$B$15,""),"")</f>
        <v/>
      </c>
      <c r="J4613">
        <f>IF(A4613="","",TEXT(A4613,"mmm-yyyy"))</f>
        <v/>
      </c>
    </row>
    <row r="4614">
      <c r="D4614">
        <f>IFERROR(XLOOKUP(C4614,'Vendor Master'!$A$6:$A$15,'Vendor Master'!$B$6:$B$15,""),"")</f>
        <v/>
      </c>
      <c r="J4614">
        <f>IF(A4614="","",TEXT(A4614,"mmm-yyyy"))</f>
        <v/>
      </c>
    </row>
    <row r="4615">
      <c r="D4615">
        <f>IFERROR(XLOOKUP(C4615,'Vendor Master'!$A$6:$A$15,'Vendor Master'!$B$6:$B$15,""),"")</f>
        <v/>
      </c>
      <c r="J4615">
        <f>IF(A4615="","",TEXT(A4615,"mmm-yyyy"))</f>
        <v/>
      </c>
    </row>
    <row r="4616">
      <c r="D4616">
        <f>IFERROR(XLOOKUP(C4616,'Vendor Master'!$A$6:$A$15,'Vendor Master'!$B$6:$B$15,""),"")</f>
        <v/>
      </c>
      <c r="J4616">
        <f>IF(A4616="","",TEXT(A4616,"mmm-yyyy"))</f>
        <v/>
      </c>
    </row>
    <row r="4617">
      <c r="D4617">
        <f>IFERROR(XLOOKUP(C4617,'Vendor Master'!$A$6:$A$15,'Vendor Master'!$B$6:$B$15,""),"")</f>
        <v/>
      </c>
      <c r="J4617">
        <f>IF(A4617="","",TEXT(A4617,"mmm-yyyy"))</f>
        <v/>
      </c>
    </row>
    <row r="4618">
      <c r="D4618">
        <f>IFERROR(XLOOKUP(C4618,'Vendor Master'!$A$6:$A$15,'Vendor Master'!$B$6:$B$15,""),"")</f>
        <v/>
      </c>
      <c r="J4618">
        <f>IF(A4618="","",TEXT(A4618,"mmm-yyyy"))</f>
        <v/>
      </c>
    </row>
    <row r="4619">
      <c r="D4619">
        <f>IFERROR(XLOOKUP(C4619,'Vendor Master'!$A$6:$A$15,'Vendor Master'!$B$6:$B$15,""),"")</f>
        <v/>
      </c>
      <c r="J4619">
        <f>IF(A4619="","",TEXT(A4619,"mmm-yyyy"))</f>
        <v/>
      </c>
    </row>
    <row r="4620">
      <c r="D4620">
        <f>IFERROR(XLOOKUP(C4620,'Vendor Master'!$A$6:$A$15,'Vendor Master'!$B$6:$B$15,""),"")</f>
        <v/>
      </c>
      <c r="J4620">
        <f>IF(A4620="","",TEXT(A4620,"mmm-yyyy"))</f>
        <v/>
      </c>
    </row>
    <row r="4621">
      <c r="D4621">
        <f>IFERROR(XLOOKUP(C4621,'Vendor Master'!$A$6:$A$15,'Vendor Master'!$B$6:$B$15,""),"")</f>
        <v/>
      </c>
      <c r="J4621">
        <f>IF(A4621="","",TEXT(A4621,"mmm-yyyy"))</f>
        <v/>
      </c>
    </row>
    <row r="4622">
      <c r="D4622">
        <f>IFERROR(XLOOKUP(C4622,'Vendor Master'!$A$6:$A$15,'Vendor Master'!$B$6:$B$15,""),"")</f>
        <v/>
      </c>
      <c r="J4622">
        <f>IF(A4622="","",TEXT(A4622,"mmm-yyyy"))</f>
        <v/>
      </c>
    </row>
    <row r="4623">
      <c r="D4623">
        <f>IFERROR(XLOOKUP(C4623,'Vendor Master'!$A$6:$A$15,'Vendor Master'!$B$6:$B$15,""),"")</f>
        <v/>
      </c>
      <c r="J4623">
        <f>IF(A4623="","",TEXT(A4623,"mmm-yyyy"))</f>
        <v/>
      </c>
    </row>
    <row r="4624">
      <c r="D4624">
        <f>IFERROR(XLOOKUP(C4624,'Vendor Master'!$A$6:$A$15,'Vendor Master'!$B$6:$B$15,""),"")</f>
        <v/>
      </c>
      <c r="J4624">
        <f>IF(A4624="","",TEXT(A4624,"mmm-yyyy"))</f>
        <v/>
      </c>
    </row>
    <row r="4625">
      <c r="D4625">
        <f>IFERROR(XLOOKUP(C4625,'Vendor Master'!$A$6:$A$15,'Vendor Master'!$B$6:$B$15,""),"")</f>
        <v/>
      </c>
      <c r="J4625">
        <f>IF(A4625="","",TEXT(A4625,"mmm-yyyy"))</f>
        <v/>
      </c>
    </row>
    <row r="4626">
      <c r="D4626">
        <f>IFERROR(XLOOKUP(C4626,'Vendor Master'!$A$6:$A$15,'Vendor Master'!$B$6:$B$15,""),"")</f>
        <v/>
      </c>
      <c r="J4626">
        <f>IF(A4626="","",TEXT(A4626,"mmm-yyyy"))</f>
        <v/>
      </c>
    </row>
    <row r="4627">
      <c r="D4627">
        <f>IFERROR(XLOOKUP(C4627,'Vendor Master'!$A$6:$A$15,'Vendor Master'!$B$6:$B$15,""),"")</f>
        <v/>
      </c>
      <c r="J4627">
        <f>IF(A4627="","",TEXT(A4627,"mmm-yyyy"))</f>
        <v/>
      </c>
    </row>
    <row r="4628">
      <c r="D4628">
        <f>IFERROR(XLOOKUP(C4628,'Vendor Master'!$A$6:$A$15,'Vendor Master'!$B$6:$B$15,""),"")</f>
        <v/>
      </c>
      <c r="J4628">
        <f>IF(A4628="","",TEXT(A4628,"mmm-yyyy"))</f>
        <v/>
      </c>
    </row>
    <row r="4629">
      <c r="D4629">
        <f>IFERROR(XLOOKUP(C4629,'Vendor Master'!$A$6:$A$15,'Vendor Master'!$B$6:$B$15,""),"")</f>
        <v/>
      </c>
      <c r="J4629">
        <f>IF(A4629="","",TEXT(A4629,"mmm-yyyy"))</f>
        <v/>
      </c>
    </row>
    <row r="4630">
      <c r="D4630">
        <f>IFERROR(XLOOKUP(C4630,'Vendor Master'!$A$6:$A$15,'Vendor Master'!$B$6:$B$15,""),"")</f>
        <v/>
      </c>
      <c r="J4630">
        <f>IF(A4630="","",TEXT(A4630,"mmm-yyyy"))</f>
        <v/>
      </c>
    </row>
    <row r="4631">
      <c r="D4631">
        <f>IFERROR(XLOOKUP(C4631,'Vendor Master'!$A$6:$A$15,'Vendor Master'!$B$6:$B$15,""),"")</f>
        <v/>
      </c>
      <c r="J4631">
        <f>IF(A4631="","",TEXT(A4631,"mmm-yyyy"))</f>
        <v/>
      </c>
    </row>
    <row r="4632">
      <c r="D4632">
        <f>IFERROR(XLOOKUP(C4632,'Vendor Master'!$A$6:$A$15,'Vendor Master'!$B$6:$B$15,""),"")</f>
        <v/>
      </c>
      <c r="J4632">
        <f>IF(A4632="","",TEXT(A4632,"mmm-yyyy"))</f>
        <v/>
      </c>
    </row>
    <row r="4633">
      <c r="D4633">
        <f>IFERROR(XLOOKUP(C4633,'Vendor Master'!$A$6:$A$15,'Vendor Master'!$B$6:$B$15,""),"")</f>
        <v/>
      </c>
      <c r="J4633">
        <f>IF(A4633="","",TEXT(A4633,"mmm-yyyy"))</f>
        <v/>
      </c>
    </row>
    <row r="4634">
      <c r="D4634">
        <f>IFERROR(XLOOKUP(C4634,'Vendor Master'!$A$6:$A$15,'Vendor Master'!$B$6:$B$15,""),"")</f>
        <v/>
      </c>
      <c r="J4634">
        <f>IF(A4634="","",TEXT(A4634,"mmm-yyyy"))</f>
        <v/>
      </c>
    </row>
    <row r="4635">
      <c r="D4635">
        <f>IFERROR(XLOOKUP(C4635,'Vendor Master'!$A$6:$A$15,'Vendor Master'!$B$6:$B$15,""),"")</f>
        <v/>
      </c>
      <c r="J4635">
        <f>IF(A4635="","",TEXT(A4635,"mmm-yyyy"))</f>
        <v/>
      </c>
    </row>
    <row r="4636">
      <c r="D4636">
        <f>IFERROR(XLOOKUP(C4636,'Vendor Master'!$A$6:$A$15,'Vendor Master'!$B$6:$B$15,""),"")</f>
        <v/>
      </c>
      <c r="J4636">
        <f>IF(A4636="","",TEXT(A4636,"mmm-yyyy"))</f>
        <v/>
      </c>
    </row>
    <row r="4637">
      <c r="D4637">
        <f>IFERROR(XLOOKUP(C4637,'Vendor Master'!$A$6:$A$15,'Vendor Master'!$B$6:$B$15,""),"")</f>
        <v/>
      </c>
      <c r="J4637">
        <f>IF(A4637="","",TEXT(A4637,"mmm-yyyy"))</f>
        <v/>
      </c>
    </row>
    <row r="4638">
      <c r="D4638">
        <f>IFERROR(XLOOKUP(C4638,'Vendor Master'!$A$6:$A$15,'Vendor Master'!$B$6:$B$15,""),"")</f>
        <v/>
      </c>
      <c r="J4638">
        <f>IF(A4638="","",TEXT(A4638,"mmm-yyyy"))</f>
        <v/>
      </c>
    </row>
    <row r="4639">
      <c r="D4639">
        <f>IFERROR(XLOOKUP(C4639,'Vendor Master'!$A$6:$A$15,'Vendor Master'!$B$6:$B$15,""),"")</f>
        <v/>
      </c>
      <c r="J4639">
        <f>IF(A4639="","",TEXT(A4639,"mmm-yyyy"))</f>
        <v/>
      </c>
    </row>
    <row r="4640">
      <c r="D4640">
        <f>IFERROR(XLOOKUP(C4640,'Vendor Master'!$A$6:$A$15,'Vendor Master'!$B$6:$B$15,""),"")</f>
        <v/>
      </c>
      <c r="J4640">
        <f>IF(A4640="","",TEXT(A4640,"mmm-yyyy"))</f>
        <v/>
      </c>
    </row>
    <row r="4641">
      <c r="D4641">
        <f>IFERROR(XLOOKUP(C4641,'Vendor Master'!$A$6:$A$15,'Vendor Master'!$B$6:$B$15,""),"")</f>
        <v/>
      </c>
      <c r="J4641">
        <f>IF(A4641="","",TEXT(A4641,"mmm-yyyy"))</f>
        <v/>
      </c>
    </row>
    <row r="4642">
      <c r="D4642">
        <f>IFERROR(XLOOKUP(C4642,'Vendor Master'!$A$6:$A$15,'Vendor Master'!$B$6:$B$15,""),"")</f>
        <v/>
      </c>
      <c r="J4642">
        <f>IF(A4642="","",TEXT(A4642,"mmm-yyyy"))</f>
        <v/>
      </c>
    </row>
    <row r="4643">
      <c r="D4643">
        <f>IFERROR(XLOOKUP(C4643,'Vendor Master'!$A$6:$A$15,'Vendor Master'!$B$6:$B$15,""),"")</f>
        <v/>
      </c>
      <c r="J4643">
        <f>IF(A4643="","",TEXT(A4643,"mmm-yyyy"))</f>
        <v/>
      </c>
    </row>
    <row r="4644">
      <c r="D4644">
        <f>IFERROR(XLOOKUP(C4644,'Vendor Master'!$A$6:$A$15,'Vendor Master'!$B$6:$B$15,""),"")</f>
        <v/>
      </c>
      <c r="J4644">
        <f>IF(A4644="","",TEXT(A4644,"mmm-yyyy"))</f>
        <v/>
      </c>
    </row>
    <row r="4645">
      <c r="D4645">
        <f>IFERROR(XLOOKUP(C4645,'Vendor Master'!$A$6:$A$15,'Vendor Master'!$B$6:$B$15,""),"")</f>
        <v/>
      </c>
      <c r="J4645">
        <f>IF(A4645="","",TEXT(A4645,"mmm-yyyy"))</f>
        <v/>
      </c>
    </row>
    <row r="4646">
      <c r="D4646">
        <f>IFERROR(XLOOKUP(C4646,'Vendor Master'!$A$6:$A$15,'Vendor Master'!$B$6:$B$15,""),"")</f>
        <v/>
      </c>
      <c r="J4646">
        <f>IF(A4646="","",TEXT(A4646,"mmm-yyyy"))</f>
        <v/>
      </c>
    </row>
    <row r="4647">
      <c r="D4647">
        <f>IFERROR(XLOOKUP(C4647,'Vendor Master'!$A$6:$A$15,'Vendor Master'!$B$6:$B$15,""),"")</f>
        <v/>
      </c>
      <c r="J4647">
        <f>IF(A4647="","",TEXT(A4647,"mmm-yyyy"))</f>
        <v/>
      </c>
    </row>
    <row r="4648">
      <c r="D4648">
        <f>IFERROR(XLOOKUP(C4648,'Vendor Master'!$A$6:$A$15,'Vendor Master'!$B$6:$B$15,""),"")</f>
        <v/>
      </c>
      <c r="J4648">
        <f>IF(A4648="","",TEXT(A4648,"mmm-yyyy"))</f>
        <v/>
      </c>
    </row>
    <row r="4649">
      <c r="D4649">
        <f>IFERROR(XLOOKUP(C4649,'Vendor Master'!$A$6:$A$15,'Vendor Master'!$B$6:$B$15,""),"")</f>
        <v/>
      </c>
      <c r="J4649">
        <f>IF(A4649="","",TEXT(A4649,"mmm-yyyy"))</f>
        <v/>
      </c>
    </row>
    <row r="4650">
      <c r="D4650">
        <f>IFERROR(XLOOKUP(C4650,'Vendor Master'!$A$6:$A$15,'Vendor Master'!$B$6:$B$15,""),"")</f>
        <v/>
      </c>
      <c r="J4650">
        <f>IF(A4650="","",TEXT(A4650,"mmm-yyyy"))</f>
        <v/>
      </c>
    </row>
    <row r="4651">
      <c r="D4651">
        <f>IFERROR(XLOOKUP(C4651,'Vendor Master'!$A$6:$A$15,'Vendor Master'!$B$6:$B$15,""),"")</f>
        <v/>
      </c>
      <c r="J4651">
        <f>IF(A4651="","",TEXT(A4651,"mmm-yyyy"))</f>
        <v/>
      </c>
    </row>
    <row r="4652">
      <c r="D4652">
        <f>IFERROR(XLOOKUP(C4652,'Vendor Master'!$A$6:$A$15,'Vendor Master'!$B$6:$B$15,""),"")</f>
        <v/>
      </c>
      <c r="J4652">
        <f>IF(A4652="","",TEXT(A4652,"mmm-yyyy"))</f>
        <v/>
      </c>
    </row>
    <row r="4653">
      <c r="D4653">
        <f>IFERROR(XLOOKUP(C4653,'Vendor Master'!$A$6:$A$15,'Vendor Master'!$B$6:$B$15,""),"")</f>
        <v/>
      </c>
      <c r="J4653">
        <f>IF(A4653="","",TEXT(A4653,"mmm-yyyy"))</f>
        <v/>
      </c>
    </row>
    <row r="4654">
      <c r="D4654">
        <f>IFERROR(XLOOKUP(C4654,'Vendor Master'!$A$6:$A$15,'Vendor Master'!$B$6:$B$15,""),"")</f>
        <v/>
      </c>
      <c r="J4654">
        <f>IF(A4654="","",TEXT(A4654,"mmm-yyyy"))</f>
        <v/>
      </c>
    </row>
    <row r="4655">
      <c r="D4655">
        <f>IFERROR(XLOOKUP(C4655,'Vendor Master'!$A$6:$A$15,'Vendor Master'!$B$6:$B$15,""),"")</f>
        <v/>
      </c>
      <c r="J4655">
        <f>IF(A4655="","",TEXT(A4655,"mmm-yyyy"))</f>
        <v/>
      </c>
    </row>
    <row r="4656">
      <c r="D4656">
        <f>IFERROR(XLOOKUP(C4656,'Vendor Master'!$A$6:$A$15,'Vendor Master'!$B$6:$B$15,""),"")</f>
        <v/>
      </c>
      <c r="J4656">
        <f>IF(A4656="","",TEXT(A4656,"mmm-yyyy"))</f>
        <v/>
      </c>
    </row>
    <row r="4657">
      <c r="D4657">
        <f>IFERROR(XLOOKUP(C4657,'Vendor Master'!$A$6:$A$15,'Vendor Master'!$B$6:$B$15,""),"")</f>
        <v/>
      </c>
      <c r="J4657">
        <f>IF(A4657="","",TEXT(A4657,"mmm-yyyy"))</f>
        <v/>
      </c>
    </row>
    <row r="4658">
      <c r="D4658">
        <f>IFERROR(XLOOKUP(C4658,'Vendor Master'!$A$6:$A$15,'Vendor Master'!$B$6:$B$15,""),"")</f>
        <v/>
      </c>
      <c r="J4658">
        <f>IF(A4658="","",TEXT(A4658,"mmm-yyyy"))</f>
        <v/>
      </c>
    </row>
    <row r="4659">
      <c r="D4659">
        <f>IFERROR(XLOOKUP(C4659,'Vendor Master'!$A$6:$A$15,'Vendor Master'!$B$6:$B$15,""),"")</f>
        <v/>
      </c>
      <c r="J4659">
        <f>IF(A4659="","",TEXT(A4659,"mmm-yyyy"))</f>
        <v/>
      </c>
    </row>
    <row r="4660">
      <c r="D4660">
        <f>IFERROR(XLOOKUP(C4660,'Vendor Master'!$A$6:$A$15,'Vendor Master'!$B$6:$B$15,""),"")</f>
        <v/>
      </c>
      <c r="J4660">
        <f>IF(A4660="","",TEXT(A4660,"mmm-yyyy"))</f>
        <v/>
      </c>
    </row>
    <row r="4661">
      <c r="D4661">
        <f>IFERROR(XLOOKUP(C4661,'Vendor Master'!$A$6:$A$15,'Vendor Master'!$B$6:$B$15,""),"")</f>
        <v/>
      </c>
      <c r="J4661">
        <f>IF(A4661="","",TEXT(A4661,"mmm-yyyy"))</f>
        <v/>
      </c>
    </row>
    <row r="4662">
      <c r="D4662">
        <f>IFERROR(XLOOKUP(C4662,'Vendor Master'!$A$6:$A$15,'Vendor Master'!$B$6:$B$15,""),"")</f>
        <v/>
      </c>
      <c r="J4662">
        <f>IF(A4662="","",TEXT(A4662,"mmm-yyyy"))</f>
        <v/>
      </c>
    </row>
    <row r="4663">
      <c r="D4663">
        <f>IFERROR(XLOOKUP(C4663,'Vendor Master'!$A$6:$A$15,'Vendor Master'!$B$6:$B$15,""),"")</f>
        <v/>
      </c>
      <c r="J4663">
        <f>IF(A4663="","",TEXT(A4663,"mmm-yyyy"))</f>
        <v/>
      </c>
    </row>
    <row r="4664">
      <c r="D4664">
        <f>IFERROR(XLOOKUP(C4664,'Vendor Master'!$A$6:$A$15,'Vendor Master'!$B$6:$B$15,""),"")</f>
        <v/>
      </c>
      <c r="J4664">
        <f>IF(A4664="","",TEXT(A4664,"mmm-yyyy"))</f>
        <v/>
      </c>
    </row>
    <row r="4665">
      <c r="D4665">
        <f>IFERROR(XLOOKUP(C4665,'Vendor Master'!$A$6:$A$15,'Vendor Master'!$B$6:$B$15,""),"")</f>
        <v/>
      </c>
      <c r="J4665">
        <f>IF(A4665="","",TEXT(A4665,"mmm-yyyy"))</f>
        <v/>
      </c>
    </row>
    <row r="4666">
      <c r="D4666">
        <f>IFERROR(XLOOKUP(C4666,'Vendor Master'!$A$6:$A$15,'Vendor Master'!$B$6:$B$15,""),"")</f>
        <v/>
      </c>
      <c r="J4666">
        <f>IF(A4666="","",TEXT(A4666,"mmm-yyyy"))</f>
        <v/>
      </c>
    </row>
    <row r="4667">
      <c r="D4667">
        <f>IFERROR(XLOOKUP(C4667,'Vendor Master'!$A$6:$A$15,'Vendor Master'!$B$6:$B$15,""),"")</f>
        <v/>
      </c>
      <c r="J4667">
        <f>IF(A4667="","",TEXT(A4667,"mmm-yyyy"))</f>
        <v/>
      </c>
    </row>
    <row r="4668">
      <c r="D4668">
        <f>IFERROR(XLOOKUP(C4668,'Vendor Master'!$A$6:$A$15,'Vendor Master'!$B$6:$B$15,""),"")</f>
        <v/>
      </c>
      <c r="J4668">
        <f>IF(A4668="","",TEXT(A4668,"mmm-yyyy"))</f>
        <v/>
      </c>
    </row>
    <row r="4669">
      <c r="D4669">
        <f>IFERROR(XLOOKUP(C4669,'Vendor Master'!$A$6:$A$15,'Vendor Master'!$B$6:$B$15,""),"")</f>
        <v/>
      </c>
      <c r="J4669">
        <f>IF(A4669="","",TEXT(A4669,"mmm-yyyy"))</f>
        <v/>
      </c>
    </row>
    <row r="4670">
      <c r="D4670">
        <f>IFERROR(XLOOKUP(C4670,'Vendor Master'!$A$6:$A$15,'Vendor Master'!$B$6:$B$15,""),"")</f>
        <v/>
      </c>
      <c r="J4670">
        <f>IF(A4670="","",TEXT(A4670,"mmm-yyyy"))</f>
        <v/>
      </c>
    </row>
    <row r="4671">
      <c r="D4671">
        <f>IFERROR(XLOOKUP(C4671,'Vendor Master'!$A$6:$A$15,'Vendor Master'!$B$6:$B$15,""),"")</f>
        <v/>
      </c>
      <c r="J4671">
        <f>IF(A4671="","",TEXT(A4671,"mmm-yyyy"))</f>
        <v/>
      </c>
    </row>
    <row r="4672">
      <c r="D4672">
        <f>IFERROR(XLOOKUP(C4672,'Vendor Master'!$A$6:$A$15,'Vendor Master'!$B$6:$B$15,""),"")</f>
        <v/>
      </c>
      <c r="J4672">
        <f>IF(A4672="","",TEXT(A4672,"mmm-yyyy"))</f>
        <v/>
      </c>
    </row>
    <row r="4673">
      <c r="D4673">
        <f>IFERROR(XLOOKUP(C4673,'Vendor Master'!$A$6:$A$15,'Vendor Master'!$B$6:$B$15,""),"")</f>
        <v/>
      </c>
      <c r="J4673">
        <f>IF(A4673="","",TEXT(A4673,"mmm-yyyy"))</f>
        <v/>
      </c>
    </row>
    <row r="4674">
      <c r="D4674">
        <f>IFERROR(XLOOKUP(C4674,'Vendor Master'!$A$6:$A$15,'Vendor Master'!$B$6:$B$15,""),"")</f>
        <v/>
      </c>
      <c r="J4674">
        <f>IF(A4674="","",TEXT(A4674,"mmm-yyyy"))</f>
        <v/>
      </c>
    </row>
    <row r="4675">
      <c r="D4675">
        <f>IFERROR(XLOOKUP(C4675,'Vendor Master'!$A$6:$A$15,'Vendor Master'!$B$6:$B$15,""),"")</f>
        <v/>
      </c>
      <c r="J4675">
        <f>IF(A4675="","",TEXT(A4675,"mmm-yyyy"))</f>
        <v/>
      </c>
    </row>
    <row r="4676">
      <c r="D4676">
        <f>IFERROR(XLOOKUP(C4676,'Vendor Master'!$A$6:$A$15,'Vendor Master'!$B$6:$B$15,""),"")</f>
        <v/>
      </c>
      <c r="J4676">
        <f>IF(A4676="","",TEXT(A4676,"mmm-yyyy"))</f>
        <v/>
      </c>
    </row>
    <row r="4677">
      <c r="D4677">
        <f>IFERROR(XLOOKUP(C4677,'Vendor Master'!$A$6:$A$15,'Vendor Master'!$B$6:$B$15,""),"")</f>
        <v/>
      </c>
      <c r="J4677">
        <f>IF(A4677="","",TEXT(A4677,"mmm-yyyy"))</f>
        <v/>
      </c>
    </row>
    <row r="4678">
      <c r="D4678">
        <f>IFERROR(XLOOKUP(C4678,'Vendor Master'!$A$6:$A$15,'Vendor Master'!$B$6:$B$15,""),"")</f>
        <v/>
      </c>
      <c r="J4678">
        <f>IF(A4678="","",TEXT(A4678,"mmm-yyyy"))</f>
        <v/>
      </c>
    </row>
    <row r="4679">
      <c r="D4679">
        <f>IFERROR(XLOOKUP(C4679,'Vendor Master'!$A$6:$A$15,'Vendor Master'!$B$6:$B$15,""),"")</f>
        <v/>
      </c>
      <c r="J4679">
        <f>IF(A4679="","",TEXT(A4679,"mmm-yyyy"))</f>
        <v/>
      </c>
    </row>
    <row r="4680">
      <c r="D4680">
        <f>IFERROR(XLOOKUP(C4680,'Vendor Master'!$A$6:$A$15,'Vendor Master'!$B$6:$B$15,""),"")</f>
        <v/>
      </c>
      <c r="J4680">
        <f>IF(A4680="","",TEXT(A4680,"mmm-yyyy"))</f>
        <v/>
      </c>
    </row>
    <row r="4681">
      <c r="D4681">
        <f>IFERROR(XLOOKUP(C4681,'Vendor Master'!$A$6:$A$15,'Vendor Master'!$B$6:$B$15,""),"")</f>
        <v/>
      </c>
      <c r="J4681">
        <f>IF(A4681="","",TEXT(A4681,"mmm-yyyy"))</f>
        <v/>
      </c>
    </row>
    <row r="4682">
      <c r="D4682">
        <f>IFERROR(XLOOKUP(C4682,'Vendor Master'!$A$6:$A$15,'Vendor Master'!$B$6:$B$15,""),"")</f>
        <v/>
      </c>
      <c r="J4682">
        <f>IF(A4682="","",TEXT(A4682,"mmm-yyyy"))</f>
        <v/>
      </c>
    </row>
    <row r="4683">
      <c r="D4683">
        <f>IFERROR(XLOOKUP(C4683,'Vendor Master'!$A$6:$A$15,'Vendor Master'!$B$6:$B$15,""),"")</f>
        <v/>
      </c>
      <c r="J4683">
        <f>IF(A4683="","",TEXT(A4683,"mmm-yyyy"))</f>
        <v/>
      </c>
    </row>
    <row r="4684">
      <c r="D4684">
        <f>IFERROR(XLOOKUP(C4684,'Vendor Master'!$A$6:$A$15,'Vendor Master'!$B$6:$B$15,""),"")</f>
        <v/>
      </c>
      <c r="J4684">
        <f>IF(A4684="","",TEXT(A4684,"mmm-yyyy"))</f>
        <v/>
      </c>
    </row>
    <row r="4685">
      <c r="D4685">
        <f>IFERROR(XLOOKUP(C4685,'Vendor Master'!$A$6:$A$15,'Vendor Master'!$B$6:$B$15,""),"")</f>
        <v/>
      </c>
      <c r="J4685">
        <f>IF(A4685="","",TEXT(A4685,"mmm-yyyy"))</f>
        <v/>
      </c>
    </row>
    <row r="4686">
      <c r="D4686">
        <f>IFERROR(XLOOKUP(C4686,'Vendor Master'!$A$6:$A$15,'Vendor Master'!$B$6:$B$15,""),"")</f>
        <v/>
      </c>
      <c r="J4686">
        <f>IF(A4686="","",TEXT(A4686,"mmm-yyyy"))</f>
        <v/>
      </c>
    </row>
    <row r="4687">
      <c r="D4687">
        <f>IFERROR(XLOOKUP(C4687,'Vendor Master'!$A$6:$A$15,'Vendor Master'!$B$6:$B$15,""),"")</f>
        <v/>
      </c>
      <c r="J4687">
        <f>IF(A4687="","",TEXT(A4687,"mmm-yyyy"))</f>
        <v/>
      </c>
    </row>
    <row r="4688">
      <c r="D4688">
        <f>IFERROR(XLOOKUP(C4688,'Vendor Master'!$A$6:$A$15,'Vendor Master'!$B$6:$B$15,""),"")</f>
        <v/>
      </c>
      <c r="J4688">
        <f>IF(A4688="","",TEXT(A4688,"mmm-yyyy"))</f>
        <v/>
      </c>
    </row>
    <row r="4689">
      <c r="D4689">
        <f>IFERROR(XLOOKUP(C4689,'Vendor Master'!$A$6:$A$15,'Vendor Master'!$B$6:$B$15,""),"")</f>
        <v/>
      </c>
      <c r="J4689">
        <f>IF(A4689="","",TEXT(A4689,"mmm-yyyy"))</f>
        <v/>
      </c>
    </row>
    <row r="4690">
      <c r="D4690">
        <f>IFERROR(XLOOKUP(C4690,'Vendor Master'!$A$6:$A$15,'Vendor Master'!$B$6:$B$15,""),"")</f>
        <v/>
      </c>
      <c r="J4690">
        <f>IF(A4690="","",TEXT(A4690,"mmm-yyyy"))</f>
        <v/>
      </c>
    </row>
    <row r="4691">
      <c r="D4691">
        <f>IFERROR(XLOOKUP(C4691,'Vendor Master'!$A$6:$A$15,'Vendor Master'!$B$6:$B$15,""),"")</f>
        <v/>
      </c>
      <c r="J4691">
        <f>IF(A4691="","",TEXT(A4691,"mmm-yyyy"))</f>
        <v/>
      </c>
    </row>
    <row r="4692">
      <c r="D4692">
        <f>IFERROR(XLOOKUP(C4692,'Vendor Master'!$A$6:$A$15,'Vendor Master'!$B$6:$B$15,""),"")</f>
        <v/>
      </c>
      <c r="J4692">
        <f>IF(A4692="","",TEXT(A4692,"mmm-yyyy"))</f>
        <v/>
      </c>
    </row>
    <row r="4693">
      <c r="D4693">
        <f>IFERROR(XLOOKUP(C4693,'Vendor Master'!$A$6:$A$15,'Vendor Master'!$B$6:$B$15,""),"")</f>
        <v/>
      </c>
      <c r="J4693">
        <f>IF(A4693="","",TEXT(A4693,"mmm-yyyy"))</f>
        <v/>
      </c>
    </row>
    <row r="4694">
      <c r="D4694">
        <f>IFERROR(XLOOKUP(C4694,'Vendor Master'!$A$6:$A$15,'Vendor Master'!$B$6:$B$15,""),"")</f>
        <v/>
      </c>
      <c r="J4694">
        <f>IF(A4694="","",TEXT(A4694,"mmm-yyyy"))</f>
        <v/>
      </c>
    </row>
    <row r="4695">
      <c r="D4695">
        <f>IFERROR(XLOOKUP(C4695,'Vendor Master'!$A$6:$A$15,'Vendor Master'!$B$6:$B$15,""),"")</f>
        <v/>
      </c>
      <c r="J4695">
        <f>IF(A4695="","",TEXT(A4695,"mmm-yyyy"))</f>
        <v/>
      </c>
    </row>
    <row r="4696">
      <c r="D4696">
        <f>IFERROR(XLOOKUP(C4696,'Vendor Master'!$A$6:$A$15,'Vendor Master'!$B$6:$B$15,""),"")</f>
        <v/>
      </c>
      <c r="J4696">
        <f>IF(A4696="","",TEXT(A4696,"mmm-yyyy"))</f>
        <v/>
      </c>
    </row>
    <row r="4697">
      <c r="D4697">
        <f>IFERROR(XLOOKUP(C4697,'Vendor Master'!$A$6:$A$15,'Vendor Master'!$B$6:$B$15,""),"")</f>
        <v/>
      </c>
      <c r="J4697">
        <f>IF(A4697="","",TEXT(A4697,"mmm-yyyy"))</f>
        <v/>
      </c>
    </row>
    <row r="4698">
      <c r="D4698">
        <f>IFERROR(XLOOKUP(C4698,'Vendor Master'!$A$6:$A$15,'Vendor Master'!$B$6:$B$15,""),"")</f>
        <v/>
      </c>
      <c r="J4698">
        <f>IF(A4698="","",TEXT(A4698,"mmm-yyyy"))</f>
        <v/>
      </c>
    </row>
    <row r="4699">
      <c r="D4699">
        <f>IFERROR(XLOOKUP(C4699,'Vendor Master'!$A$6:$A$15,'Vendor Master'!$B$6:$B$15,""),"")</f>
        <v/>
      </c>
      <c r="J4699">
        <f>IF(A4699="","",TEXT(A4699,"mmm-yyyy"))</f>
        <v/>
      </c>
    </row>
    <row r="4700">
      <c r="D4700">
        <f>IFERROR(XLOOKUP(C4700,'Vendor Master'!$A$6:$A$15,'Vendor Master'!$B$6:$B$15,""),"")</f>
        <v/>
      </c>
      <c r="J4700">
        <f>IF(A4700="","",TEXT(A4700,"mmm-yyyy"))</f>
        <v/>
      </c>
    </row>
    <row r="4701">
      <c r="D4701">
        <f>IFERROR(XLOOKUP(C4701,'Vendor Master'!$A$6:$A$15,'Vendor Master'!$B$6:$B$15,""),"")</f>
        <v/>
      </c>
      <c r="J4701">
        <f>IF(A4701="","",TEXT(A4701,"mmm-yyyy"))</f>
        <v/>
      </c>
    </row>
    <row r="4702">
      <c r="D4702">
        <f>IFERROR(XLOOKUP(C4702,'Vendor Master'!$A$6:$A$15,'Vendor Master'!$B$6:$B$15,""),"")</f>
        <v/>
      </c>
      <c r="J4702">
        <f>IF(A4702="","",TEXT(A4702,"mmm-yyyy"))</f>
        <v/>
      </c>
    </row>
    <row r="4703">
      <c r="D4703">
        <f>IFERROR(XLOOKUP(C4703,'Vendor Master'!$A$6:$A$15,'Vendor Master'!$B$6:$B$15,""),"")</f>
        <v/>
      </c>
      <c r="J4703">
        <f>IF(A4703="","",TEXT(A4703,"mmm-yyyy"))</f>
        <v/>
      </c>
    </row>
    <row r="4704">
      <c r="D4704">
        <f>IFERROR(XLOOKUP(C4704,'Vendor Master'!$A$6:$A$15,'Vendor Master'!$B$6:$B$15,""),"")</f>
        <v/>
      </c>
      <c r="J4704">
        <f>IF(A4704="","",TEXT(A4704,"mmm-yyyy"))</f>
        <v/>
      </c>
    </row>
    <row r="4705">
      <c r="D4705">
        <f>IFERROR(XLOOKUP(C4705,'Vendor Master'!$A$6:$A$15,'Vendor Master'!$B$6:$B$15,""),"")</f>
        <v/>
      </c>
      <c r="J4705">
        <f>IF(A4705="","",TEXT(A4705,"mmm-yyyy"))</f>
        <v/>
      </c>
    </row>
    <row r="4706">
      <c r="D4706">
        <f>IFERROR(XLOOKUP(C4706,'Vendor Master'!$A$6:$A$15,'Vendor Master'!$B$6:$B$15,""),"")</f>
        <v/>
      </c>
      <c r="J4706">
        <f>IF(A4706="","",TEXT(A4706,"mmm-yyyy"))</f>
        <v/>
      </c>
    </row>
    <row r="4707">
      <c r="D4707">
        <f>IFERROR(XLOOKUP(C4707,'Vendor Master'!$A$6:$A$15,'Vendor Master'!$B$6:$B$15,""),"")</f>
        <v/>
      </c>
      <c r="J4707">
        <f>IF(A4707="","",TEXT(A4707,"mmm-yyyy"))</f>
        <v/>
      </c>
    </row>
    <row r="4708">
      <c r="D4708">
        <f>IFERROR(XLOOKUP(C4708,'Vendor Master'!$A$6:$A$15,'Vendor Master'!$B$6:$B$15,""),"")</f>
        <v/>
      </c>
      <c r="J4708">
        <f>IF(A4708="","",TEXT(A4708,"mmm-yyyy"))</f>
        <v/>
      </c>
    </row>
    <row r="4709">
      <c r="D4709">
        <f>IFERROR(XLOOKUP(C4709,'Vendor Master'!$A$6:$A$15,'Vendor Master'!$B$6:$B$15,""),"")</f>
        <v/>
      </c>
      <c r="J4709">
        <f>IF(A4709="","",TEXT(A4709,"mmm-yyyy"))</f>
        <v/>
      </c>
    </row>
    <row r="4710">
      <c r="D4710">
        <f>IFERROR(XLOOKUP(C4710,'Vendor Master'!$A$6:$A$15,'Vendor Master'!$B$6:$B$15,""),"")</f>
        <v/>
      </c>
      <c r="J4710">
        <f>IF(A4710="","",TEXT(A4710,"mmm-yyyy"))</f>
        <v/>
      </c>
    </row>
    <row r="4711">
      <c r="D4711">
        <f>IFERROR(XLOOKUP(C4711,'Vendor Master'!$A$6:$A$15,'Vendor Master'!$B$6:$B$15,""),"")</f>
        <v/>
      </c>
      <c r="J4711">
        <f>IF(A4711="","",TEXT(A4711,"mmm-yyyy"))</f>
        <v/>
      </c>
    </row>
    <row r="4712">
      <c r="D4712">
        <f>IFERROR(XLOOKUP(C4712,'Vendor Master'!$A$6:$A$15,'Vendor Master'!$B$6:$B$15,""),"")</f>
        <v/>
      </c>
      <c r="J4712">
        <f>IF(A4712="","",TEXT(A4712,"mmm-yyyy"))</f>
        <v/>
      </c>
    </row>
    <row r="4713">
      <c r="D4713">
        <f>IFERROR(XLOOKUP(C4713,'Vendor Master'!$A$6:$A$15,'Vendor Master'!$B$6:$B$15,""),"")</f>
        <v/>
      </c>
      <c r="J4713">
        <f>IF(A4713="","",TEXT(A4713,"mmm-yyyy"))</f>
        <v/>
      </c>
    </row>
    <row r="4714">
      <c r="D4714">
        <f>IFERROR(XLOOKUP(C4714,'Vendor Master'!$A$6:$A$15,'Vendor Master'!$B$6:$B$15,""),"")</f>
        <v/>
      </c>
      <c r="J4714">
        <f>IF(A4714="","",TEXT(A4714,"mmm-yyyy"))</f>
        <v/>
      </c>
    </row>
    <row r="4715">
      <c r="D4715">
        <f>IFERROR(XLOOKUP(C4715,'Vendor Master'!$A$6:$A$15,'Vendor Master'!$B$6:$B$15,""),"")</f>
        <v/>
      </c>
      <c r="J4715">
        <f>IF(A4715="","",TEXT(A4715,"mmm-yyyy"))</f>
        <v/>
      </c>
    </row>
    <row r="4716">
      <c r="D4716">
        <f>IFERROR(XLOOKUP(C4716,'Vendor Master'!$A$6:$A$15,'Vendor Master'!$B$6:$B$15,""),"")</f>
        <v/>
      </c>
      <c r="J4716">
        <f>IF(A4716="","",TEXT(A4716,"mmm-yyyy"))</f>
        <v/>
      </c>
    </row>
    <row r="4717">
      <c r="D4717">
        <f>IFERROR(XLOOKUP(C4717,'Vendor Master'!$A$6:$A$15,'Vendor Master'!$B$6:$B$15,""),"")</f>
        <v/>
      </c>
      <c r="J4717">
        <f>IF(A4717="","",TEXT(A4717,"mmm-yyyy"))</f>
        <v/>
      </c>
    </row>
    <row r="4718">
      <c r="D4718">
        <f>IFERROR(XLOOKUP(C4718,'Vendor Master'!$A$6:$A$15,'Vendor Master'!$B$6:$B$15,""),"")</f>
        <v/>
      </c>
      <c r="J4718">
        <f>IF(A4718="","",TEXT(A4718,"mmm-yyyy"))</f>
        <v/>
      </c>
    </row>
    <row r="4719">
      <c r="D4719">
        <f>IFERROR(XLOOKUP(C4719,'Vendor Master'!$A$6:$A$15,'Vendor Master'!$B$6:$B$15,""),"")</f>
        <v/>
      </c>
      <c r="J4719">
        <f>IF(A4719="","",TEXT(A4719,"mmm-yyyy"))</f>
        <v/>
      </c>
    </row>
    <row r="4720">
      <c r="D4720">
        <f>IFERROR(XLOOKUP(C4720,'Vendor Master'!$A$6:$A$15,'Vendor Master'!$B$6:$B$15,""),"")</f>
        <v/>
      </c>
      <c r="J4720">
        <f>IF(A4720="","",TEXT(A4720,"mmm-yyyy"))</f>
        <v/>
      </c>
    </row>
    <row r="4721">
      <c r="D4721">
        <f>IFERROR(XLOOKUP(C4721,'Vendor Master'!$A$6:$A$15,'Vendor Master'!$B$6:$B$15,""),"")</f>
        <v/>
      </c>
      <c r="J4721">
        <f>IF(A4721="","",TEXT(A4721,"mmm-yyyy"))</f>
        <v/>
      </c>
    </row>
    <row r="4722">
      <c r="D4722">
        <f>IFERROR(XLOOKUP(C4722,'Vendor Master'!$A$6:$A$15,'Vendor Master'!$B$6:$B$15,""),"")</f>
        <v/>
      </c>
      <c r="J4722">
        <f>IF(A4722="","",TEXT(A4722,"mmm-yyyy"))</f>
        <v/>
      </c>
    </row>
    <row r="4723">
      <c r="D4723">
        <f>IFERROR(XLOOKUP(C4723,'Vendor Master'!$A$6:$A$15,'Vendor Master'!$B$6:$B$15,""),"")</f>
        <v/>
      </c>
      <c r="J4723">
        <f>IF(A4723="","",TEXT(A4723,"mmm-yyyy"))</f>
        <v/>
      </c>
    </row>
    <row r="4724">
      <c r="D4724">
        <f>IFERROR(XLOOKUP(C4724,'Vendor Master'!$A$6:$A$15,'Vendor Master'!$B$6:$B$15,""),"")</f>
        <v/>
      </c>
      <c r="J4724">
        <f>IF(A4724="","",TEXT(A4724,"mmm-yyyy"))</f>
        <v/>
      </c>
    </row>
    <row r="4725">
      <c r="D4725">
        <f>IFERROR(XLOOKUP(C4725,'Vendor Master'!$A$6:$A$15,'Vendor Master'!$B$6:$B$15,""),"")</f>
        <v/>
      </c>
      <c r="J4725">
        <f>IF(A4725="","",TEXT(A4725,"mmm-yyyy"))</f>
        <v/>
      </c>
    </row>
    <row r="4726">
      <c r="D4726">
        <f>IFERROR(XLOOKUP(C4726,'Vendor Master'!$A$6:$A$15,'Vendor Master'!$B$6:$B$15,""),"")</f>
        <v/>
      </c>
      <c r="J4726">
        <f>IF(A4726="","",TEXT(A4726,"mmm-yyyy"))</f>
        <v/>
      </c>
    </row>
    <row r="4727">
      <c r="D4727">
        <f>IFERROR(XLOOKUP(C4727,'Vendor Master'!$A$6:$A$15,'Vendor Master'!$B$6:$B$15,""),"")</f>
        <v/>
      </c>
      <c r="J4727">
        <f>IF(A4727="","",TEXT(A4727,"mmm-yyyy"))</f>
        <v/>
      </c>
    </row>
    <row r="4728">
      <c r="D4728">
        <f>IFERROR(XLOOKUP(C4728,'Vendor Master'!$A$6:$A$15,'Vendor Master'!$B$6:$B$15,""),"")</f>
        <v/>
      </c>
      <c r="J4728">
        <f>IF(A4728="","",TEXT(A4728,"mmm-yyyy"))</f>
        <v/>
      </c>
    </row>
    <row r="4729">
      <c r="D4729">
        <f>IFERROR(XLOOKUP(C4729,'Vendor Master'!$A$6:$A$15,'Vendor Master'!$B$6:$B$15,""),"")</f>
        <v/>
      </c>
      <c r="J4729">
        <f>IF(A4729="","",TEXT(A4729,"mmm-yyyy"))</f>
        <v/>
      </c>
    </row>
    <row r="4730">
      <c r="D4730">
        <f>IFERROR(XLOOKUP(C4730,'Vendor Master'!$A$6:$A$15,'Vendor Master'!$B$6:$B$15,""),"")</f>
        <v/>
      </c>
      <c r="J4730">
        <f>IF(A4730="","",TEXT(A4730,"mmm-yyyy"))</f>
        <v/>
      </c>
    </row>
    <row r="4731">
      <c r="D4731">
        <f>IFERROR(XLOOKUP(C4731,'Vendor Master'!$A$6:$A$15,'Vendor Master'!$B$6:$B$15,""),"")</f>
        <v/>
      </c>
      <c r="J4731">
        <f>IF(A4731="","",TEXT(A4731,"mmm-yyyy"))</f>
        <v/>
      </c>
    </row>
    <row r="4732">
      <c r="D4732">
        <f>IFERROR(XLOOKUP(C4732,'Vendor Master'!$A$6:$A$15,'Vendor Master'!$B$6:$B$15,""),"")</f>
        <v/>
      </c>
      <c r="J4732">
        <f>IF(A4732="","",TEXT(A4732,"mmm-yyyy"))</f>
        <v/>
      </c>
    </row>
    <row r="4733">
      <c r="D4733">
        <f>IFERROR(XLOOKUP(C4733,'Vendor Master'!$A$6:$A$15,'Vendor Master'!$B$6:$B$15,""),"")</f>
        <v/>
      </c>
      <c r="J4733">
        <f>IF(A4733="","",TEXT(A4733,"mmm-yyyy"))</f>
        <v/>
      </c>
    </row>
    <row r="4734">
      <c r="D4734">
        <f>IFERROR(XLOOKUP(C4734,'Vendor Master'!$A$6:$A$15,'Vendor Master'!$B$6:$B$15,""),"")</f>
        <v/>
      </c>
      <c r="J4734">
        <f>IF(A4734="","",TEXT(A4734,"mmm-yyyy"))</f>
        <v/>
      </c>
    </row>
    <row r="4735">
      <c r="D4735">
        <f>IFERROR(XLOOKUP(C4735,'Vendor Master'!$A$6:$A$15,'Vendor Master'!$B$6:$B$15,""),"")</f>
        <v/>
      </c>
      <c r="J4735">
        <f>IF(A4735="","",TEXT(A4735,"mmm-yyyy"))</f>
        <v/>
      </c>
    </row>
    <row r="4736">
      <c r="D4736">
        <f>IFERROR(XLOOKUP(C4736,'Vendor Master'!$A$6:$A$15,'Vendor Master'!$B$6:$B$15,""),"")</f>
        <v/>
      </c>
      <c r="J4736">
        <f>IF(A4736="","",TEXT(A4736,"mmm-yyyy"))</f>
        <v/>
      </c>
    </row>
    <row r="4737">
      <c r="D4737">
        <f>IFERROR(XLOOKUP(C4737,'Vendor Master'!$A$6:$A$15,'Vendor Master'!$B$6:$B$15,""),"")</f>
        <v/>
      </c>
      <c r="J4737">
        <f>IF(A4737="","",TEXT(A4737,"mmm-yyyy"))</f>
        <v/>
      </c>
    </row>
    <row r="4738">
      <c r="D4738">
        <f>IFERROR(XLOOKUP(C4738,'Vendor Master'!$A$6:$A$15,'Vendor Master'!$B$6:$B$15,""),"")</f>
        <v/>
      </c>
      <c r="J4738">
        <f>IF(A4738="","",TEXT(A4738,"mmm-yyyy"))</f>
        <v/>
      </c>
    </row>
    <row r="4739">
      <c r="D4739">
        <f>IFERROR(XLOOKUP(C4739,'Vendor Master'!$A$6:$A$15,'Vendor Master'!$B$6:$B$15,""),"")</f>
        <v/>
      </c>
      <c r="J4739">
        <f>IF(A4739="","",TEXT(A4739,"mmm-yyyy"))</f>
        <v/>
      </c>
    </row>
    <row r="4740">
      <c r="D4740">
        <f>IFERROR(XLOOKUP(C4740,'Vendor Master'!$A$6:$A$15,'Vendor Master'!$B$6:$B$15,""),"")</f>
        <v/>
      </c>
      <c r="J4740">
        <f>IF(A4740="","",TEXT(A4740,"mmm-yyyy"))</f>
        <v/>
      </c>
    </row>
    <row r="4741">
      <c r="D4741">
        <f>IFERROR(XLOOKUP(C4741,'Vendor Master'!$A$6:$A$15,'Vendor Master'!$B$6:$B$15,""),"")</f>
        <v/>
      </c>
      <c r="J4741">
        <f>IF(A4741="","",TEXT(A4741,"mmm-yyyy"))</f>
        <v/>
      </c>
    </row>
    <row r="4742">
      <c r="D4742">
        <f>IFERROR(XLOOKUP(C4742,'Vendor Master'!$A$6:$A$15,'Vendor Master'!$B$6:$B$15,""),"")</f>
        <v/>
      </c>
      <c r="J4742">
        <f>IF(A4742="","",TEXT(A4742,"mmm-yyyy"))</f>
        <v/>
      </c>
    </row>
    <row r="4743">
      <c r="D4743">
        <f>IFERROR(XLOOKUP(C4743,'Vendor Master'!$A$6:$A$15,'Vendor Master'!$B$6:$B$15,""),"")</f>
        <v/>
      </c>
      <c r="J4743">
        <f>IF(A4743="","",TEXT(A4743,"mmm-yyyy"))</f>
        <v/>
      </c>
    </row>
    <row r="4744">
      <c r="D4744">
        <f>IFERROR(XLOOKUP(C4744,'Vendor Master'!$A$6:$A$15,'Vendor Master'!$B$6:$B$15,""),"")</f>
        <v/>
      </c>
      <c r="J4744">
        <f>IF(A4744="","",TEXT(A4744,"mmm-yyyy"))</f>
        <v/>
      </c>
    </row>
    <row r="4745">
      <c r="D4745">
        <f>IFERROR(XLOOKUP(C4745,'Vendor Master'!$A$6:$A$15,'Vendor Master'!$B$6:$B$15,""),"")</f>
        <v/>
      </c>
      <c r="J4745">
        <f>IF(A4745="","",TEXT(A4745,"mmm-yyyy"))</f>
        <v/>
      </c>
    </row>
    <row r="4746">
      <c r="D4746">
        <f>IFERROR(XLOOKUP(C4746,'Vendor Master'!$A$6:$A$15,'Vendor Master'!$B$6:$B$15,""),"")</f>
        <v/>
      </c>
      <c r="J4746">
        <f>IF(A4746="","",TEXT(A4746,"mmm-yyyy"))</f>
        <v/>
      </c>
    </row>
    <row r="4747">
      <c r="D4747">
        <f>IFERROR(XLOOKUP(C4747,'Vendor Master'!$A$6:$A$15,'Vendor Master'!$B$6:$B$15,""),"")</f>
        <v/>
      </c>
      <c r="J4747">
        <f>IF(A4747="","",TEXT(A4747,"mmm-yyyy"))</f>
        <v/>
      </c>
    </row>
    <row r="4748">
      <c r="D4748">
        <f>IFERROR(XLOOKUP(C4748,'Vendor Master'!$A$6:$A$15,'Vendor Master'!$B$6:$B$15,""),"")</f>
        <v/>
      </c>
      <c r="J4748">
        <f>IF(A4748="","",TEXT(A4748,"mmm-yyyy"))</f>
        <v/>
      </c>
    </row>
    <row r="4749">
      <c r="D4749">
        <f>IFERROR(XLOOKUP(C4749,'Vendor Master'!$A$6:$A$15,'Vendor Master'!$B$6:$B$15,""),"")</f>
        <v/>
      </c>
      <c r="J4749">
        <f>IF(A4749="","",TEXT(A4749,"mmm-yyyy"))</f>
        <v/>
      </c>
    </row>
    <row r="4750">
      <c r="D4750">
        <f>IFERROR(XLOOKUP(C4750,'Vendor Master'!$A$6:$A$15,'Vendor Master'!$B$6:$B$15,""),"")</f>
        <v/>
      </c>
      <c r="J4750">
        <f>IF(A4750="","",TEXT(A4750,"mmm-yyyy"))</f>
        <v/>
      </c>
    </row>
    <row r="4751">
      <c r="D4751">
        <f>IFERROR(XLOOKUP(C4751,'Vendor Master'!$A$6:$A$15,'Vendor Master'!$B$6:$B$15,""),"")</f>
        <v/>
      </c>
      <c r="J4751">
        <f>IF(A4751="","",TEXT(A4751,"mmm-yyyy"))</f>
        <v/>
      </c>
    </row>
    <row r="4752">
      <c r="D4752">
        <f>IFERROR(XLOOKUP(C4752,'Vendor Master'!$A$6:$A$15,'Vendor Master'!$B$6:$B$15,""),"")</f>
        <v/>
      </c>
      <c r="J4752">
        <f>IF(A4752="","",TEXT(A4752,"mmm-yyyy"))</f>
        <v/>
      </c>
    </row>
    <row r="4753">
      <c r="D4753">
        <f>IFERROR(XLOOKUP(C4753,'Vendor Master'!$A$6:$A$15,'Vendor Master'!$B$6:$B$15,""),"")</f>
        <v/>
      </c>
      <c r="J4753">
        <f>IF(A4753="","",TEXT(A4753,"mmm-yyyy"))</f>
        <v/>
      </c>
    </row>
    <row r="4754">
      <c r="D4754">
        <f>IFERROR(XLOOKUP(C4754,'Vendor Master'!$A$6:$A$15,'Vendor Master'!$B$6:$B$15,""),"")</f>
        <v/>
      </c>
      <c r="J4754">
        <f>IF(A4754="","",TEXT(A4754,"mmm-yyyy"))</f>
        <v/>
      </c>
    </row>
    <row r="4755">
      <c r="D4755">
        <f>IFERROR(XLOOKUP(C4755,'Vendor Master'!$A$6:$A$15,'Vendor Master'!$B$6:$B$15,""),"")</f>
        <v/>
      </c>
      <c r="J4755">
        <f>IF(A4755="","",TEXT(A4755,"mmm-yyyy"))</f>
        <v/>
      </c>
    </row>
    <row r="4756">
      <c r="D4756">
        <f>IFERROR(XLOOKUP(C4756,'Vendor Master'!$A$6:$A$15,'Vendor Master'!$B$6:$B$15,""),"")</f>
        <v/>
      </c>
      <c r="J4756">
        <f>IF(A4756="","",TEXT(A4756,"mmm-yyyy"))</f>
        <v/>
      </c>
    </row>
    <row r="4757">
      <c r="D4757">
        <f>IFERROR(XLOOKUP(C4757,'Vendor Master'!$A$6:$A$15,'Vendor Master'!$B$6:$B$15,""),"")</f>
        <v/>
      </c>
      <c r="J4757">
        <f>IF(A4757="","",TEXT(A4757,"mmm-yyyy"))</f>
        <v/>
      </c>
    </row>
    <row r="4758">
      <c r="D4758">
        <f>IFERROR(XLOOKUP(C4758,'Vendor Master'!$A$6:$A$15,'Vendor Master'!$B$6:$B$15,""),"")</f>
        <v/>
      </c>
      <c r="J4758">
        <f>IF(A4758="","",TEXT(A4758,"mmm-yyyy"))</f>
        <v/>
      </c>
    </row>
    <row r="4759">
      <c r="D4759">
        <f>IFERROR(XLOOKUP(C4759,'Vendor Master'!$A$6:$A$15,'Vendor Master'!$B$6:$B$15,""),"")</f>
        <v/>
      </c>
      <c r="J4759">
        <f>IF(A4759="","",TEXT(A4759,"mmm-yyyy"))</f>
        <v/>
      </c>
    </row>
    <row r="4760">
      <c r="D4760">
        <f>IFERROR(XLOOKUP(C4760,'Vendor Master'!$A$6:$A$15,'Vendor Master'!$B$6:$B$15,""),"")</f>
        <v/>
      </c>
      <c r="J4760">
        <f>IF(A4760="","",TEXT(A4760,"mmm-yyyy"))</f>
        <v/>
      </c>
    </row>
    <row r="4761">
      <c r="D4761">
        <f>IFERROR(XLOOKUP(C4761,'Vendor Master'!$A$6:$A$15,'Vendor Master'!$B$6:$B$15,""),"")</f>
        <v/>
      </c>
      <c r="J4761">
        <f>IF(A4761="","",TEXT(A4761,"mmm-yyyy"))</f>
        <v/>
      </c>
    </row>
    <row r="4762">
      <c r="D4762">
        <f>IFERROR(XLOOKUP(C4762,'Vendor Master'!$A$6:$A$15,'Vendor Master'!$B$6:$B$15,""),"")</f>
        <v/>
      </c>
      <c r="J4762">
        <f>IF(A4762="","",TEXT(A4762,"mmm-yyyy"))</f>
        <v/>
      </c>
    </row>
    <row r="4763">
      <c r="D4763">
        <f>IFERROR(XLOOKUP(C4763,'Vendor Master'!$A$6:$A$15,'Vendor Master'!$B$6:$B$15,""),"")</f>
        <v/>
      </c>
      <c r="J4763">
        <f>IF(A4763="","",TEXT(A4763,"mmm-yyyy"))</f>
        <v/>
      </c>
    </row>
    <row r="4764">
      <c r="D4764">
        <f>IFERROR(XLOOKUP(C4764,'Vendor Master'!$A$6:$A$15,'Vendor Master'!$B$6:$B$15,""),"")</f>
        <v/>
      </c>
      <c r="J4764">
        <f>IF(A4764="","",TEXT(A4764,"mmm-yyyy"))</f>
        <v/>
      </c>
    </row>
    <row r="4765">
      <c r="D4765">
        <f>IFERROR(XLOOKUP(C4765,'Vendor Master'!$A$6:$A$15,'Vendor Master'!$B$6:$B$15,""),"")</f>
        <v/>
      </c>
      <c r="J4765">
        <f>IF(A4765="","",TEXT(A4765,"mmm-yyyy"))</f>
        <v/>
      </c>
    </row>
    <row r="4766">
      <c r="D4766">
        <f>IFERROR(XLOOKUP(C4766,'Vendor Master'!$A$6:$A$15,'Vendor Master'!$B$6:$B$15,""),"")</f>
        <v/>
      </c>
      <c r="J4766">
        <f>IF(A4766="","",TEXT(A4766,"mmm-yyyy"))</f>
        <v/>
      </c>
    </row>
    <row r="4767">
      <c r="D4767">
        <f>IFERROR(XLOOKUP(C4767,'Vendor Master'!$A$6:$A$15,'Vendor Master'!$B$6:$B$15,""),"")</f>
        <v/>
      </c>
      <c r="J4767">
        <f>IF(A4767="","",TEXT(A4767,"mmm-yyyy"))</f>
        <v/>
      </c>
    </row>
    <row r="4768">
      <c r="D4768">
        <f>IFERROR(XLOOKUP(C4768,'Vendor Master'!$A$6:$A$15,'Vendor Master'!$B$6:$B$15,""),"")</f>
        <v/>
      </c>
      <c r="J4768">
        <f>IF(A4768="","",TEXT(A4768,"mmm-yyyy"))</f>
        <v/>
      </c>
    </row>
    <row r="4769">
      <c r="D4769">
        <f>IFERROR(XLOOKUP(C4769,'Vendor Master'!$A$6:$A$15,'Vendor Master'!$B$6:$B$15,""),"")</f>
        <v/>
      </c>
      <c r="J4769">
        <f>IF(A4769="","",TEXT(A4769,"mmm-yyyy"))</f>
        <v/>
      </c>
    </row>
    <row r="4770">
      <c r="D4770">
        <f>IFERROR(XLOOKUP(C4770,'Vendor Master'!$A$6:$A$15,'Vendor Master'!$B$6:$B$15,""),"")</f>
        <v/>
      </c>
      <c r="J4770">
        <f>IF(A4770="","",TEXT(A4770,"mmm-yyyy"))</f>
        <v/>
      </c>
    </row>
    <row r="4771">
      <c r="D4771">
        <f>IFERROR(XLOOKUP(C4771,'Vendor Master'!$A$6:$A$15,'Vendor Master'!$B$6:$B$15,""),"")</f>
        <v/>
      </c>
      <c r="J4771">
        <f>IF(A4771="","",TEXT(A4771,"mmm-yyyy"))</f>
        <v/>
      </c>
    </row>
    <row r="4772">
      <c r="D4772">
        <f>IFERROR(XLOOKUP(C4772,'Vendor Master'!$A$6:$A$15,'Vendor Master'!$B$6:$B$15,""),"")</f>
        <v/>
      </c>
      <c r="J4772">
        <f>IF(A4772="","",TEXT(A4772,"mmm-yyyy"))</f>
        <v/>
      </c>
    </row>
    <row r="4773">
      <c r="D4773">
        <f>IFERROR(XLOOKUP(C4773,'Vendor Master'!$A$6:$A$15,'Vendor Master'!$B$6:$B$15,""),"")</f>
        <v/>
      </c>
      <c r="J4773">
        <f>IF(A4773="","",TEXT(A4773,"mmm-yyyy"))</f>
        <v/>
      </c>
    </row>
    <row r="4774">
      <c r="D4774">
        <f>IFERROR(XLOOKUP(C4774,'Vendor Master'!$A$6:$A$15,'Vendor Master'!$B$6:$B$15,""),"")</f>
        <v/>
      </c>
      <c r="J4774">
        <f>IF(A4774="","",TEXT(A4774,"mmm-yyyy"))</f>
        <v/>
      </c>
    </row>
    <row r="4775">
      <c r="D4775">
        <f>IFERROR(XLOOKUP(C4775,'Vendor Master'!$A$6:$A$15,'Vendor Master'!$B$6:$B$15,""),"")</f>
        <v/>
      </c>
      <c r="J4775">
        <f>IF(A4775="","",TEXT(A4775,"mmm-yyyy"))</f>
        <v/>
      </c>
    </row>
    <row r="4776">
      <c r="D4776">
        <f>IFERROR(XLOOKUP(C4776,'Vendor Master'!$A$6:$A$15,'Vendor Master'!$B$6:$B$15,""),"")</f>
        <v/>
      </c>
      <c r="J4776">
        <f>IF(A4776="","",TEXT(A4776,"mmm-yyyy"))</f>
        <v/>
      </c>
    </row>
    <row r="4777">
      <c r="D4777">
        <f>IFERROR(XLOOKUP(C4777,'Vendor Master'!$A$6:$A$15,'Vendor Master'!$B$6:$B$15,""),"")</f>
        <v/>
      </c>
      <c r="J4777">
        <f>IF(A4777="","",TEXT(A4777,"mmm-yyyy"))</f>
        <v/>
      </c>
    </row>
    <row r="4778">
      <c r="D4778">
        <f>IFERROR(XLOOKUP(C4778,'Vendor Master'!$A$6:$A$15,'Vendor Master'!$B$6:$B$15,""),"")</f>
        <v/>
      </c>
      <c r="J4778">
        <f>IF(A4778="","",TEXT(A4778,"mmm-yyyy"))</f>
        <v/>
      </c>
    </row>
    <row r="4779">
      <c r="D4779">
        <f>IFERROR(XLOOKUP(C4779,'Vendor Master'!$A$6:$A$15,'Vendor Master'!$B$6:$B$15,""),"")</f>
        <v/>
      </c>
      <c r="J4779">
        <f>IF(A4779="","",TEXT(A4779,"mmm-yyyy"))</f>
        <v/>
      </c>
    </row>
    <row r="4780">
      <c r="D4780">
        <f>IFERROR(XLOOKUP(C4780,'Vendor Master'!$A$6:$A$15,'Vendor Master'!$B$6:$B$15,""),"")</f>
        <v/>
      </c>
      <c r="J4780">
        <f>IF(A4780="","",TEXT(A4780,"mmm-yyyy"))</f>
        <v/>
      </c>
    </row>
    <row r="4781">
      <c r="D4781">
        <f>IFERROR(XLOOKUP(C4781,'Vendor Master'!$A$6:$A$15,'Vendor Master'!$B$6:$B$15,""),"")</f>
        <v/>
      </c>
      <c r="J4781">
        <f>IF(A4781="","",TEXT(A4781,"mmm-yyyy"))</f>
        <v/>
      </c>
    </row>
    <row r="4782">
      <c r="D4782">
        <f>IFERROR(XLOOKUP(C4782,'Vendor Master'!$A$6:$A$15,'Vendor Master'!$B$6:$B$15,""),"")</f>
        <v/>
      </c>
      <c r="J4782">
        <f>IF(A4782="","",TEXT(A4782,"mmm-yyyy"))</f>
        <v/>
      </c>
    </row>
    <row r="4783">
      <c r="D4783">
        <f>IFERROR(XLOOKUP(C4783,'Vendor Master'!$A$6:$A$15,'Vendor Master'!$B$6:$B$15,""),"")</f>
        <v/>
      </c>
      <c r="J4783">
        <f>IF(A4783="","",TEXT(A4783,"mmm-yyyy"))</f>
        <v/>
      </c>
    </row>
    <row r="4784">
      <c r="D4784">
        <f>IFERROR(XLOOKUP(C4784,'Vendor Master'!$A$6:$A$15,'Vendor Master'!$B$6:$B$15,""),"")</f>
        <v/>
      </c>
      <c r="J4784">
        <f>IF(A4784="","",TEXT(A4784,"mmm-yyyy"))</f>
        <v/>
      </c>
    </row>
    <row r="4785">
      <c r="D4785">
        <f>IFERROR(XLOOKUP(C4785,'Vendor Master'!$A$6:$A$15,'Vendor Master'!$B$6:$B$15,""),"")</f>
        <v/>
      </c>
      <c r="J4785">
        <f>IF(A4785="","",TEXT(A4785,"mmm-yyyy"))</f>
        <v/>
      </c>
    </row>
    <row r="4786">
      <c r="D4786">
        <f>IFERROR(XLOOKUP(C4786,'Vendor Master'!$A$6:$A$15,'Vendor Master'!$B$6:$B$15,""),"")</f>
        <v/>
      </c>
      <c r="J4786">
        <f>IF(A4786="","",TEXT(A4786,"mmm-yyyy"))</f>
        <v/>
      </c>
    </row>
    <row r="4787">
      <c r="D4787">
        <f>IFERROR(XLOOKUP(C4787,'Vendor Master'!$A$6:$A$15,'Vendor Master'!$B$6:$B$15,""),"")</f>
        <v/>
      </c>
      <c r="J4787">
        <f>IF(A4787="","",TEXT(A4787,"mmm-yyyy"))</f>
        <v/>
      </c>
    </row>
    <row r="4788">
      <c r="D4788">
        <f>IFERROR(XLOOKUP(C4788,'Vendor Master'!$A$6:$A$15,'Vendor Master'!$B$6:$B$15,""),"")</f>
        <v/>
      </c>
      <c r="J4788">
        <f>IF(A4788="","",TEXT(A4788,"mmm-yyyy"))</f>
        <v/>
      </c>
    </row>
    <row r="4789">
      <c r="D4789">
        <f>IFERROR(XLOOKUP(C4789,'Vendor Master'!$A$6:$A$15,'Vendor Master'!$B$6:$B$15,""),"")</f>
        <v/>
      </c>
      <c r="J4789">
        <f>IF(A4789="","",TEXT(A4789,"mmm-yyyy"))</f>
        <v/>
      </c>
    </row>
    <row r="4790">
      <c r="D4790">
        <f>IFERROR(XLOOKUP(C4790,'Vendor Master'!$A$6:$A$15,'Vendor Master'!$B$6:$B$15,""),"")</f>
        <v/>
      </c>
      <c r="J4790">
        <f>IF(A4790="","",TEXT(A4790,"mmm-yyyy"))</f>
        <v/>
      </c>
    </row>
    <row r="4791">
      <c r="D4791">
        <f>IFERROR(XLOOKUP(C4791,'Vendor Master'!$A$6:$A$15,'Vendor Master'!$B$6:$B$15,""),"")</f>
        <v/>
      </c>
      <c r="J4791">
        <f>IF(A4791="","",TEXT(A4791,"mmm-yyyy"))</f>
        <v/>
      </c>
    </row>
    <row r="4792">
      <c r="D4792">
        <f>IFERROR(XLOOKUP(C4792,'Vendor Master'!$A$6:$A$15,'Vendor Master'!$B$6:$B$15,""),"")</f>
        <v/>
      </c>
      <c r="J4792">
        <f>IF(A4792="","",TEXT(A4792,"mmm-yyyy"))</f>
        <v/>
      </c>
    </row>
    <row r="4793">
      <c r="D4793">
        <f>IFERROR(XLOOKUP(C4793,'Vendor Master'!$A$6:$A$15,'Vendor Master'!$B$6:$B$15,""),"")</f>
        <v/>
      </c>
      <c r="J4793">
        <f>IF(A4793="","",TEXT(A4793,"mmm-yyyy"))</f>
        <v/>
      </c>
    </row>
    <row r="4794">
      <c r="D4794">
        <f>IFERROR(XLOOKUP(C4794,'Vendor Master'!$A$6:$A$15,'Vendor Master'!$B$6:$B$15,""),"")</f>
        <v/>
      </c>
      <c r="J4794">
        <f>IF(A4794="","",TEXT(A4794,"mmm-yyyy"))</f>
        <v/>
      </c>
    </row>
    <row r="4795">
      <c r="D4795">
        <f>IFERROR(XLOOKUP(C4795,'Vendor Master'!$A$6:$A$15,'Vendor Master'!$B$6:$B$15,""),"")</f>
        <v/>
      </c>
      <c r="J4795">
        <f>IF(A4795="","",TEXT(A4795,"mmm-yyyy"))</f>
        <v/>
      </c>
    </row>
    <row r="4796">
      <c r="D4796">
        <f>IFERROR(XLOOKUP(C4796,'Vendor Master'!$A$6:$A$15,'Vendor Master'!$B$6:$B$15,""),"")</f>
        <v/>
      </c>
      <c r="J4796">
        <f>IF(A4796="","",TEXT(A4796,"mmm-yyyy"))</f>
        <v/>
      </c>
    </row>
    <row r="4797">
      <c r="D4797">
        <f>IFERROR(XLOOKUP(C4797,'Vendor Master'!$A$6:$A$15,'Vendor Master'!$B$6:$B$15,""),"")</f>
        <v/>
      </c>
      <c r="J4797">
        <f>IF(A4797="","",TEXT(A4797,"mmm-yyyy"))</f>
        <v/>
      </c>
    </row>
    <row r="4798">
      <c r="D4798">
        <f>IFERROR(XLOOKUP(C4798,'Vendor Master'!$A$6:$A$15,'Vendor Master'!$B$6:$B$15,""),"")</f>
        <v/>
      </c>
      <c r="J4798">
        <f>IF(A4798="","",TEXT(A4798,"mmm-yyyy"))</f>
        <v/>
      </c>
    </row>
    <row r="4799">
      <c r="D4799">
        <f>IFERROR(XLOOKUP(C4799,'Vendor Master'!$A$6:$A$15,'Vendor Master'!$B$6:$B$15,""),"")</f>
        <v/>
      </c>
      <c r="J4799">
        <f>IF(A4799="","",TEXT(A4799,"mmm-yyyy"))</f>
        <v/>
      </c>
    </row>
    <row r="4800">
      <c r="D4800">
        <f>IFERROR(XLOOKUP(C4800,'Vendor Master'!$A$6:$A$15,'Vendor Master'!$B$6:$B$15,""),"")</f>
        <v/>
      </c>
      <c r="J4800">
        <f>IF(A4800="","",TEXT(A4800,"mmm-yyyy"))</f>
        <v/>
      </c>
    </row>
    <row r="4801">
      <c r="D4801">
        <f>IFERROR(XLOOKUP(C4801,'Vendor Master'!$A$6:$A$15,'Vendor Master'!$B$6:$B$15,""),"")</f>
        <v/>
      </c>
      <c r="J4801">
        <f>IF(A4801="","",TEXT(A4801,"mmm-yyyy"))</f>
        <v/>
      </c>
    </row>
    <row r="4802">
      <c r="D4802">
        <f>IFERROR(XLOOKUP(C4802,'Vendor Master'!$A$6:$A$15,'Vendor Master'!$B$6:$B$15,""),"")</f>
        <v/>
      </c>
      <c r="J4802">
        <f>IF(A4802="","",TEXT(A4802,"mmm-yyyy"))</f>
        <v/>
      </c>
    </row>
    <row r="4803">
      <c r="D4803">
        <f>IFERROR(XLOOKUP(C4803,'Vendor Master'!$A$6:$A$15,'Vendor Master'!$B$6:$B$15,""),"")</f>
        <v/>
      </c>
      <c r="J4803">
        <f>IF(A4803="","",TEXT(A4803,"mmm-yyyy"))</f>
        <v/>
      </c>
    </row>
    <row r="4804">
      <c r="D4804">
        <f>IFERROR(XLOOKUP(C4804,'Vendor Master'!$A$6:$A$15,'Vendor Master'!$B$6:$B$15,""),"")</f>
        <v/>
      </c>
      <c r="J4804">
        <f>IF(A4804="","",TEXT(A4804,"mmm-yyyy"))</f>
        <v/>
      </c>
    </row>
    <row r="4805">
      <c r="D4805">
        <f>IFERROR(XLOOKUP(C4805,'Vendor Master'!$A$6:$A$15,'Vendor Master'!$B$6:$B$15,""),"")</f>
        <v/>
      </c>
      <c r="J4805">
        <f>IF(A4805="","",TEXT(A4805,"mmm-yyyy"))</f>
        <v/>
      </c>
    </row>
    <row r="4806">
      <c r="D4806">
        <f>IFERROR(XLOOKUP(C4806,'Vendor Master'!$A$6:$A$15,'Vendor Master'!$B$6:$B$15,""),"")</f>
        <v/>
      </c>
      <c r="J4806">
        <f>IF(A4806="","",TEXT(A4806,"mmm-yyyy"))</f>
        <v/>
      </c>
    </row>
    <row r="4807">
      <c r="D4807">
        <f>IFERROR(XLOOKUP(C4807,'Vendor Master'!$A$6:$A$15,'Vendor Master'!$B$6:$B$15,""),"")</f>
        <v/>
      </c>
      <c r="J4807">
        <f>IF(A4807="","",TEXT(A4807,"mmm-yyyy"))</f>
        <v/>
      </c>
    </row>
    <row r="4808">
      <c r="D4808">
        <f>IFERROR(XLOOKUP(C4808,'Vendor Master'!$A$6:$A$15,'Vendor Master'!$B$6:$B$15,""),"")</f>
        <v/>
      </c>
      <c r="J4808">
        <f>IF(A4808="","",TEXT(A4808,"mmm-yyyy"))</f>
        <v/>
      </c>
    </row>
    <row r="4809">
      <c r="D4809">
        <f>IFERROR(XLOOKUP(C4809,'Vendor Master'!$A$6:$A$15,'Vendor Master'!$B$6:$B$15,""),"")</f>
        <v/>
      </c>
      <c r="J4809">
        <f>IF(A4809="","",TEXT(A4809,"mmm-yyyy"))</f>
        <v/>
      </c>
    </row>
    <row r="4810">
      <c r="D4810">
        <f>IFERROR(XLOOKUP(C4810,'Vendor Master'!$A$6:$A$15,'Vendor Master'!$B$6:$B$15,""),"")</f>
        <v/>
      </c>
      <c r="J4810">
        <f>IF(A4810="","",TEXT(A4810,"mmm-yyyy"))</f>
        <v/>
      </c>
    </row>
    <row r="4811">
      <c r="D4811">
        <f>IFERROR(XLOOKUP(C4811,'Vendor Master'!$A$6:$A$15,'Vendor Master'!$B$6:$B$15,""),"")</f>
        <v/>
      </c>
      <c r="J4811">
        <f>IF(A4811="","",TEXT(A4811,"mmm-yyyy"))</f>
        <v/>
      </c>
    </row>
    <row r="4812">
      <c r="D4812">
        <f>IFERROR(XLOOKUP(C4812,'Vendor Master'!$A$6:$A$15,'Vendor Master'!$B$6:$B$15,""),"")</f>
        <v/>
      </c>
      <c r="J4812">
        <f>IF(A4812="","",TEXT(A4812,"mmm-yyyy"))</f>
        <v/>
      </c>
    </row>
    <row r="4813">
      <c r="D4813">
        <f>IFERROR(XLOOKUP(C4813,'Vendor Master'!$A$6:$A$15,'Vendor Master'!$B$6:$B$15,""),"")</f>
        <v/>
      </c>
      <c r="J4813">
        <f>IF(A4813="","",TEXT(A4813,"mmm-yyyy"))</f>
        <v/>
      </c>
    </row>
    <row r="4814">
      <c r="D4814">
        <f>IFERROR(XLOOKUP(C4814,'Vendor Master'!$A$6:$A$15,'Vendor Master'!$B$6:$B$15,""),"")</f>
        <v/>
      </c>
      <c r="J4814">
        <f>IF(A4814="","",TEXT(A4814,"mmm-yyyy"))</f>
        <v/>
      </c>
    </row>
    <row r="4815">
      <c r="D4815">
        <f>IFERROR(XLOOKUP(C4815,'Vendor Master'!$A$6:$A$15,'Vendor Master'!$B$6:$B$15,""),"")</f>
        <v/>
      </c>
      <c r="J4815">
        <f>IF(A4815="","",TEXT(A4815,"mmm-yyyy"))</f>
        <v/>
      </c>
    </row>
    <row r="4816">
      <c r="D4816">
        <f>IFERROR(XLOOKUP(C4816,'Vendor Master'!$A$6:$A$15,'Vendor Master'!$B$6:$B$15,""),"")</f>
        <v/>
      </c>
      <c r="J4816">
        <f>IF(A4816="","",TEXT(A4816,"mmm-yyyy"))</f>
        <v/>
      </c>
    </row>
    <row r="4817">
      <c r="D4817">
        <f>IFERROR(XLOOKUP(C4817,'Vendor Master'!$A$6:$A$15,'Vendor Master'!$B$6:$B$15,""),"")</f>
        <v/>
      </c>
      <c r="J4817">
        <f>IF(A4817="","",TEXT(A4817,"mmm-yyyy"))</f>
        <v/>
      </c>
    </row>
    <row r="4818">
      <c r="D4818">
        <f>IFERROR(XLOOKUP(C4818,'Vendor Master'!$A$6:$A$15,'Vendor Master'!$B$6:$B$15,""),"")</f>
        <v/>
      </c>
      <c r="J4818">
        <f>IF(A4818="","",TEXT(A4818,"mmm-yyyy"))</f>
        <v/>
      </c>
    </row>
    <row r="4819">
      <c r="D4819">
        <f>IFERROR(XLOOKUP(C4819,'Vendor Master'!$A$6:$A$15,'Vendor Master'!$B$6:$B$15,""),"")</f>
        <v/>
      </c>
      <c r="J4819">
        <f>IF(A4819="","",TEXT(A4819,"mmm-yyyy"))</f>
        <v/>
      </c>
    </row>
    <row r="4820">
      <c r="D4820">
        <f>IFERROR(XLOOKUP(C4820,'Vendor Master'!$A$6:$A$15,'Vendor Master'!$B$6:$B$15,""),"")</f>
        <v/>
      </c>
      <c r="J4820">
        <f>IF(A4820="","",TEXT(A4820,"mmm-yyyy"))</f>
        <v/>
      </c>
    </row>
    <row r="4821">
      <c r="D4821">
        <f>IFERROR(XLOOKUP(C4821,'Vendor Master'!$A$6:$A$15,'Vendor Master'!$B$6:$B$15,""),"")</f>
        <v/>
      </c>
      <c r="J4821">
        <f>IF(A4821="","",TEXT(A4821,"mmm-yyyy"))</f>
        <v/>
      </c>
    </row>
    <row r="4822">
      <c r="D4822">
        <f>IFERROR(XLOOKUP(C4822,'Vendor Master'!$A$6:$A$15,'Vendor Master'!$B$6:$B$15,""),"")</f>
        <v/>
      </c>
      <c r="J4822">
        <f>IF(A4822="","",TEXT(A4822,"mmm-yyyy"))</f>
        <v/>
      </c>
    </row>
    <row r="4823">
      <c r="D4823">
        <f>IFERROR(XLOOKUP(C4823,'Vendor Master'!$A$6:$A$15,'Vendor Master'!$B$6:$B$15,""),"")</f>
        <v/>
      </c>
      <c r="J4823">
        <f>IF(A4823="","",TEXT(A4823,"mmm-yyyy"))</f>
        <v/>
      </c>
    </row>
    <row r="4824">
      <c r="D4824">
        <f>IFERROR(XLOOKUP(C4824,'Vendor Master'!$A$6:$A$15,'Vendor Master'!$B$6:$B$15,""),"")</f>
        <v/>
      </c>
      <c r="J4824">
        <f>IF(A4824="","",TEXT(A4824,"mmm-yyyy"))</f>
        <v/>
      </c>
    </row>
    <row r="4825">
      <c r="D4825">
        <f>IFERROR(XLOOKUP(C4825,'Vendor Master'!$A$6:$A$15,'Vendor Master'!$B$6:$B$15,""),"")</f>
        <v/>
      </c>
      <c r="J4825">
        <f>IF(A4825="","",TEXT(A4825,"mmm-yyyy"))</f>
        <v/>
      </c>
    </row>
    <row r="4826">
      <c r="D4826">
        <f>IFERROR(XLOOKUP(C4826,'Vendor Master'!$A$6:$A$15,'Vendor Master'!$B$6:$B$15,""),"")</f>
        <v/>
      </c>
      <c r="J4826">
        <f>IF(A4826="","",TEXT(A4826,"mmm-yyyy"))</f>
        <v/>
      </c>
    </row>
    <row r="4827">
      <c r="D4827">
        <f>IFERROR(XLOOKUP(C4827,'Vendor Master'!$A$6:$A$15,'Vendor Master'!$B$6:$B$15,""),"")</f>
        <v/>
      </c>
      <c r="J4827">
        <f>IF(A4827="","",TEXT(A4827,"mmm-yyyy"))</f>
        <v/>
      </c>
    </row>
    <row r="4828">
      <c r="D4828">
        <f>IFERROR(XLOOKUP(C4828,'Vendor Master'!$A$6:$A$15,'Vendor Master'!$B$6:$B$15,""),"")</f>
        <v/>
      </c>
      <c r="J4828">
        <f>IF(A4828="","",TEXT(A4828,"mmm-yyyy"))</f>
        <v/>
      </c>
    </row>
    <row r="4829">
      <c r="D4829">
        <f>IFERROR(XLOOKUP(C4829,'Vendor Master'!$A$6:$A$15,'Vendor Master'!$B$6:$B$15,""),"")</f>
        <v/>
      </c>
      <c r="J4829">
        <f>IF(A4829="","",TEXT(A4829,"mmm-yyyy"))</f>
        <v/>
      </c>
    </row>
    <row r="4830">
      <c r="D4830">
        <f>IFERROR(XLOOKUP(C4830,'Vendor Master'!$A$6:$A$15,'Vendor Master'!$B$6:$B$15,""),"")</f>
        <v/>
      </c>
      <c r="J4830">
        <f>IF(A4830="","",TEXT(A4830,"mmm-yyyy"))</f>
        <v/>
      </c>
    </row>
    <row r="4831">
      <c r="D4831">
        <f>IFERROR(XLOOKUP(C4831,'Vendor Master'!$A$6:$A$15,'Vendor Master'!$B$6:$B$15,""),"")</f>
        <v/>
      </c>
      <c r="J4831">
        <f>IF(A4831="","",TEXT(A4831,"mmm-yyyy"))</f>
        <v/>
      </c>
    </row>
    <row r="4832">
      <c r="D4832">
        <f>IFERROR(XLOOKUP(C4832,'Vendor Master'!$A$6:$A$15,'Vendor Master'!$B$6:$B$15,""),"")</f>
        <v/>
      </c>
      <c r="J4832">
        <f>IF(A4832="","",TEXT(A4832,"mmm-yyyy"))</f>
        <v/>
      </c>
    </row>
    <row r="4833">
      <c r="D4833">
        <f>IFERROR(XLOOKUP(C4833,'Vendor Master'!$A$6:$A$15,'Vendor Master'!$B$6:$B$15,""),"")</f>
        <v/>
      </c>
      <c r="J4833">
        <f>IF(A4833="","",TEXT(A4833,"mmm-yyyy"))</f>
        <v/>
      </c>
    </row>
    <row r="4834">
      <c r="D4834">
        <f>IFERROR(XLOOKUP(C4834,'Vendor Master'!$A$6:$A$15,'Vendor Master'!$B$6:$B$15,""),"")</f>
        <v/>
      </c>
      <c r="J4834">
        <f>IF(A4834="","",TEXT(A4834,"mmm-yyyy"))</f>
        <v/>
      </c>
    </row>
    <row r="4835">
      <c r="D4835">
        <f>IFERROR(XLOOKUP(C4835,'Vendor Master'!$A$6:$A$15,'Vendor Master'!$B$6:$B$15,""),"")</f>
        <v/>
      </c>
      <c r="J4835">
        <f>IF(A4835="","",TEXT(A4835,"mmm-yyyy"))</f>
        <v/>
      </c>
    </row>
    <row r="4836">
      <c r="D4836">
        <f>IFERROR(XLOOKUP(C4836,'Vendor Master'!$A$6:$A$15,'Vendor Master'!$B$6:$B$15,""),"")</f>
        <v/>
      </c>
      <c r="J4836">
        <f>IF(A4836="","",TEXT(A4836,"mmm-yyyy"))</f>
        <v/>
      </c>
    </row>
    <row r="4837">
      <c r="D4837">
        <f>IFERROR(XLOOKUP(C4837,'Vendor Master'!$A$6:$A$15,'Vendor Master'!$B$6:$B$15,""),"")</f>
        <v/>
      </c>
      <c r="J4837">
        <f>IF(A4837="","",TEXT(A4837,"mmm-yyyy"))</f>
        <v/>
      </c>
    </row>
    <row r="4838">
      <c r="D4838">
        <f>IFERROR(XLOOKUP(C4838,'Vendor Master'!$A$6:$A$15,'Vendor Master'!$B$6:$B$15,""),"")</f>
        <v/>
      </c>
      <c r="J4838">
        <f>IF(A4838="","",TEXT(A4838,"mmm-yyyy"))</f>
        <v/>
      </c>
    </row>
    <row r="4839">
      <c r="D4839">
        <f>IFERROR(XLOOKUP(C4839,'Vendor Master'!$A$6:$A$15,'Vendor Master'!$B$6:$B$15,""),"")</f>
        <v/>
      </c>
      <c r="J4839">
        <f>IF(A4839="","",TEXT(A4839,"mmm-yyyy"))</f>
        <v/>
      </c>
    </row>
    <row r="4840">
      <c r="D4840">
        <f>IFERROR(XLOOKUP(C4840,'Vendor Master'!$A$6:$A$15,'Vendor Master'!$B$6:$B$15,""),"")</f>
        <v/>
      </c>
      <c r="J4840">
        <f>IF(A4840="","",TEXT(A4840,"mmm-yyyy"))</f>
        <v/>
      </c>
    </row>
    <row r="4841">
      <c r="D4841">
        <f>IFERROR(XLOOKUP(C4841,'Vendor Master'!$A$6:$A$15,'Vendor Master'!$B$6:$B$15,""),"")</f>
        <v/>
      </c>
      <c r="J4841">
        <f>IF(A4841="","",TEXT(A4841,"mmm-yyyy"))</f>
        <v/>
      </c>
    </row>
    <row r="4842">
      <c r="D4842">
        <f>IFERROR(XLOOKUP(C4842,'Vendor Master'!$A$6:$A$15,'Vendor Master'!$B$6:$B$15,""),"")</f>
        <v/>
      </c>
      <c r="J4842">
        <f>IF(A4842="","",TEXT(A4842,"mmm-yyyy"))</f>
        <v/>
      </c>
    </row>
    <row r="4843">
      <c r="D4843">
        <f>IFERROR(XLOOKUP(C4843,'Vendor Master'!$A$6:$A$15,'Vendor Master'!$B$6:$B$15,""),"")</f>
        <v/>
      </c>
      <c r="J4843">
        <f>IF(A4843="","",TEXT(A4843,"mmm-yyyy"))</f>
        <v/>
      </c>
    </row>
    <row r="4844">
      <c r="D4844">
        <f>IFERROR(XLOOKUP(C4844,'Vendor Master'!$A$6:$A$15,'Vendor Master'!$B$6:$B$15,""),"")</f>
        <v/>
      </c>
      <c r="J4844">
        <f>IF(A4844="","",TEXT(A4844,"mmm-yyyy"))</f>
        <v/>
      </c>
    </row>
    <row r="4845">
      <c r="D4845">
        <f>IFERROR(XLOOKUP(C4845,'Vendor Master'!$A$6:$A$15,'Vendor Master'!$B$6:$B$15,""),"")</f>
        <v/>
      </c>
      <c r="J4845">
        <f>IF(A4845="","",TEXT(A4845,"mmm-yyyy"))</f>
        <v/>
      </c>
    </row>
    <row r="4846">
      <c r="D4846">
        <f>IFERROR(XLOOKUP(C4846,'Vendor Master'!$A$6:$A$15,'Vendor Master'!$B$6:$B$15,""),"")</f>
        <v/>
      </c>
      <c r="J4846">
        <f>IF(A4846="","",TEXT(A4846,"mmm-yyyy"))</f>
        <v/>
      </c>
    </row>
    <row r="4847">
      <c r="D4847">
        <f>IFERROR(XLOOKUP(C4847,'Vendor Master'!$A$6:$A$15,'Vendor Master'!$B$6:$B$15,""),"")</f>
        <v/>
      </c>
      <c r="J4847">
        <f>IF(A4847="","",TEXT(A4847,"mmm-yyyy"))</f>
        <v/>
      </c>
    </row>
    <row r="4848">
      <c r="D4848">
        <f>IFERROR(XLOOKUP(C4848,'Vendor Master'!$A$6:$A$15,'Vendor Master'!$B$6:$B$15,""),"")</f>
        <v/>
      </c>
      <c r="J4848">
        <f>IF(A4848="","",TEXT(A4848,"mmm-yyyy"))</f>
        <v/>
      </c>
    </row>
    <row r="4849">
      <c r="D4849">
        <f>IFERROR(XLOOKUP(C4849,'Vendor Master'!$A$6:$A$15,'Vendor Master'!$B$6:$B$15,""),"")</f>
        <v/>
      </c>
      <c r="J4849">
        <f>IF(A4849="","",TEXT(A4849,"mmm-yyyy"))</f>
        <v/>
      </c>
    </row>
    <row r="4850">
      <c r="D4850">
        <f>IFERROR(XLOOKUP(C4850,'Vendor Master'!$A$6:$A$15,'Vendor Master'!$B$6:$B$15,""),"")</f>
        <v/>
      </c>
      <c r="J4850">
        <f>IF(A4850="","",TEXT(A4850,"mmm-yyyy"))</f>
        <v/>
      </c>
    </row>
    <row r="4851">
      <c r="D4851">
        <f>IFERROR(XLOOKUP(C4851,'Vendor Master'!$A$6:$A$15,'Vendor Master'!$B$6:$B$15,""),"")</f>
        <v/>
      </c>
      <c r="J4851">
        <f>IF(A4851="","",TEXT(A4851,"mmm-yyyy"))</f>
        <v/>
      </c>
    </row>
    <row r="4852">
      <c r="D4852">
        <f>IFERROR(XLOOKUP(C4852,'Vendor Master'!$A$6:$A$15,'Vendor Master'!$B$6:$B$15,""),"")</f>
        <v/>
      </c>
      <c r="J4852">
        <f>IF(A4852="","",TEXT(A4852,"mmm-yyyy"))</f>
        <v/>
      </c>
    </row>
    <row r="4853">
      <c r="D4853">
        <f>IFERROR(XLOOKUP(C4853,'Vendor Master'!$A$6:$A$15,'Vendor Master'!$B$6:$B$15,""),"")</f>
        <v/>
      </c>
      <c r="J4853">
        <f>IF(A4853="","",TEXT(A4853,"mmm-yyyy"))</f>
        <v/>
      </c>
    </row>
    <row r="4854">
      <c r="D4854">
        <f>IFERROR(XLOOKUP(C4854,'Vendor Master'!$A$6:$A$15,'Vendor Master'!$B$6:$B$15,""),"")</f>
        <v/>
      </c>
      <c r="J4854">
        <f>IF(A4854="","",TEXT(A4854,"mmm-yyyy"))</f>
        <v/>
      </c>
    </row>
    <row r="4855">
      <c r="D4855">
        <f>IFERROR(XLOOKUP(C4855,'Vendor Master'!$A$6:$A$15,'Vendor Master'!$B$6:$B$15,""),"")</f>
        <v/>
      </c>
      <c r="J4855">
        <f>IF(A4855="","",TEXT(A4855,"mmm-yyyy"))</f>
        <v/>
      </c>
    </row>
    <row r="4856">
      <c r="D4856">
        <f>IFERROR(XLOOKUP(C4856,'Vendor Master'!$A$6:$A$15,'Vendor Master'!$B$6:$B$15,""),"")</f>
        <v/>
      </c>
      <c r="J4856">
        <f>IF(A4856="","",TEXT(A4856,"mmm-yyyy"))</f>
        <v/>
      </c>
    </row>
    <row r="4857">
      <c r="D4857">
        <f>IFERROR(XLOOKUP(C4857,'Vendor Master'!$A$6:$A$15,'Vendor Master'!$B$6:$B$15,""),"")</f>
        <v/>
      </c>
      <c r="J4857">
        <f>IF(A4857="","",TEXT(A4857,"mmm-yyyy"))</f>
        <v/>
      </c>
    </row>
    <row r="4858">
      <c r="D4858">
        <f>IFERROR(XLOOKUP(C4858,'Vendor Master'!$A$6:$A$15,'Vendor Master'!$B$6:$B$15,""),"")</f>
        <v/>
      </c>
      <c r="J4858">
        <f>IF(A4858="","",TEXT(A4858,"mmm-yyyy"))</f>
        <v/>
      </c>
    </row>
    <row r="4859">
      <c r="D4859">
        <f>IFERROR(XLOOKUP(C4859,'Vendor Master'!$A$6:$A$15,'Vendor Master'!$B$6:$B$15,""),"")</f>
        <v/>
      </c>
      <c r="J4859">
        <f>IF(A4859="","",TEXT(A4859,"mmm-yyyy"))</f>
        <v/>
      </c>
    </row>
    <row r="4860">
      <c r="D4860">
        <f>IFERROR(XLOOKUP(C4860,'Vendor Master'!$A$6:$A$15,'Vendor Master'!$B$6:$B$15,""),"")</f>
        <v/>
      </c>
      <c r="J4860">
        <f>IF(A4860="","",TEXT(A4860,"mmm-yyyy"))</f>
        <v/>
      </c>
    </row>
    <row r="4861">
      <c r="D4861">
        <f>IFERROR(XLOOKUP(C4861,'Vendor Master'!$A$6:$A$15,'Vendor Master'!$B$6:$B$15,""),"")</f>
        <v/>
      </c>
      <c r="J4861">
        <f>IF(A4861="","",TEXT(A4861,"mmm-yyyy"))</f>
        <v/>
      </c>
    </row>
    <row r="4862">
      <c r="D4862">
        <f>IFERROR(XLOOKUP(C4862,'Vendor Master'!$A$6:$A$15,'Vendor Master'!$B$6:$B$15,""),"")</f>
        <v/>
      </c>
      <c r="J4862">
        <f>IF(A4862="","",TEXT(A4862,"mmm-yyyy"))</f>
        <v/>
      </c>
    </row>
    <row r="4863">
      <c r="D4863">
        <f>IFERROR(XLOOKUP(C4863,'Vendor Master'!$A$6:$A$15,'Vendor Master'!$B$6:$B$15,""),"")</f>
        <v/>
      </c>
      <c r="J4863">
        <f>IF(A4863="","",TEXT(A4863,"mmm-yyyy"))</f>
        <v/>
      </c>
    </row>
    <row r="4864">
      <c r="D4864">
        <f>IFERROR(XLOOKUP(C4864,'Vendor Master'!$A$6:$A$15,'Vendor Master'!$B$6:$B$15,""),"")</f>
        <v/>
      </c>
      <c r="J4864">
        <f>IF(A4864="","",TEXT(A4864,"mmm-yyyy"))</f>
        <v/>
      </c>
    </row>
    <row r="4865">
      <c r="D4865">
        <f>IFERROR(XLOOKUP(C4865,'Vendor Master'!$A$6:$A$15,'Vendor Master'!$B$6:$B$15,""),"")</f>
        <v/>
      </c>
      <c r="J4865">
        <f>IF(A4865="","",TEXT(A4865,"mmm-yyyy"))</f>
        <v/>
      </c>
    </row>
    <row r="4866">
      <c r="D4866">
        <f>IFERROR(XLOOKUP(C4866,'Vendor Master'!$A$6:$A$15,'Vendor Master'!$B$6:$B$15,""),"")</f>
        <v/>
      </c>
      <c r="J4866">
        <f>IF(A4866="","",TEXT(A4866,"mmm-yyyy"))</f>
        <v/>
      </c>
    </row>
    <row r="4867">
      <c r="D4867">
        <f>IFERROR(XLOOKUP(C4867,'Vendor Master'!$A$6:$A$15,'Vendor Master'!$B$6:$B$15,""),"")</f>
        <v/>
      </c>
      <c r="J4867">
        <f>IF(A4867="","",TEXT(A4867,"mmm-yyyy"))</f>
        <v/>
      </c>
    </row>
    <row r="4868">
      <c r="D4868">
        <f>IFERROR(XLOOKUP(C4868,'Vendor Master'!$A$6:$A$15,'Vendor Master'!$B$6:$B$15,""),"")</f>
        <v/>
      </c>
      <c r="J4868">
        <f>IF(A4868="","",TEXT(A4868,"mmm-yyyy"))</f>
        <v/>
      </c>
    </row>
    <row r="4869">
      <c r="D4869">
        <f>IFERROR(XLOOKUP(C4869,'Vendor Master'!$A$6:$A$15,'Vendor Master'!$B$6:$B$15,""),"")</f>
        <v/>
      </c>
      <c r="J4869">
        <f>IF(A4869="","",TEXT(A4869,"mmm-yyyy"))</f>
        <v/>
      </c>
    </row>
    <row r="4870">
      <c r="D4870">
        <f>IFERROR(XLOOKUP(C4870,'Vendor Master'!$A$6:$A$15,'Vendor Master'!$B$6:$B$15,""),"")</f>
        <v/>
      </c>
      <c r="J4870">
        <f>IF(A4870="","",TEXT(A4870,"mmm-yyyy"))</f>
        <v/>
      </c>
    </row>
    <row r="4871">
      <c r="D4871">
        <f>IFERROR(XLOOKUP(C4871,'Vendor Master'!$A$6:$A$15,'Vendor Master'!$B$6:$B$15,""),"")</f>
        <v/>
      </c>
      <c r="J4871">
        <f>IF(A4871="","",TEXT(A4871,"mmm-yyyy"))</f>
        <v/>
      </c>
    </row>
    <row r="4872">
      <c r="D4872">
        <f>IFERROR(XLOOKUP(C4872,'Vendor Master'!$A$6:$A$15,'Vendor Master'!$B$6:$B$15,""),"")</f>
        <v/>
      </c>
      <c r="J4872">
        <f>IF(A4872="","",TEXT(A4872,"mmm-yyyy"))</f>
        <v/>
      </c>
    </row>
    <row r="4873">
      <c r="D4873">
        <f>IFERROR(XLOOKUP(C4873,'Vendor Master'!$A$6:$A$15,'Vendor Master'!$B$6:$B$15,""),"")</f>
        <v/>
      </c>
      <c r="J4873">
        <f>IF(A4873="","",TEXT(A4873,"mmm-yyyy"))</f>
        <v/>
      </c>
    </row>
    <row r="4874">
      <c r="D4874">
        <f>IFERROR(XLOOKUP(C4874,'Vendor Master'!$A$6:$A$15,'Vendor Master'!$B$6:$B$15,""),"")</f>
        <v/>
      </c>
      <c r="J4874">
        <f>IF(A4874="","",TEXT(A4874,"mmm-yyyy"))</f>
        <v/>
      </c>
    </row>
    <row r="4875">
      <c r="D4875">
        <f>IFERROR(XLOOKUP(C4875,'Vendor Master'!$A$6:$A$15,'Vendor Master'!$B$6:$B$15,""),"")</f>
        <v/>
      </c>
      <c r="J4875">
        <f>IF(A4875="","",TEXT(A4875,"mmm-yyyy"))</f>
        <v/>
      </c>
    </row>
    <row r="4876">
      <c r="D4876">
        <f>IFERROR(XLOOKUP(C4876,'Vendor Master'!$A$6:$A$15,'Vendor Master'!$B$6:$B$15,""),"")</f>
        <v/>
      </c>
      <c r="J4876">
        <f>IF(A4876="","",TEXT(A4876,"mmm-yyyy"))</f>
        <v/>
      </c>
    </row>
    <row r="4877">
      <c r="D4877">
        <f>IFERROR(XLOOKUP(C4877,'Vendor Master'!$A$6:$A$15,'Vendor Master'!$B$6:$B$15,""),"")</f>
        <v/>
      </c>
      <c r="J4877">
        <f>IF(A4877="","",TEXT(A4877,"mmm-yyyy"))</f>
        <v/>
      </c>
    </row>
    <row r="4878">
      <c r="D4878">
        <f>IFERROR(XLOOKUP(C4878,'Vendor Master'!$A$6:$A$15,'Vendor Master'!$B$6:$B$15,""),"")</f>
        <v/>
      </c>
      <c r="J4878">
        <f>IF(A4878="","",TEXT(A4878,"mmm-yyyy"))</f>
        <v/>
      </c>
    </row>
    <row r="4879">
      <c r="D4879">
        <f>IFERROR(XLOOKUP(C4879,'Vendor Master'!$A$6:$A$15,'Vendor Master'!$B$6:$B$15,""),"")</f>
        <v/>
      </c>
      <c r="J4879">
        <f>IF(A4879="","",TEXT(A4879,"mmm-yyyy"))</f>
        <v/>
      </c>
    </row>
    <row r="4880">
      <c r="D4880">
        <f>IFERROR(XLOOKUP(C4880,'Vendor Master'!$A$6:$A$15,'Vendor Master'!$B$6:$B$15,""),"")</f>
        <v/>
      </c>
      <c r="J4880">
        <f>IF(A4880="","",TEXT(A4880,"mmm-yyyy"))</f>
        <v/>
      </c>
    </row>
    <row r="4881">
      <c r="D4881">
        <f>IFERROR(XLOOKUP(C4881,'Vendor Master'!$A$6:$A$15,'Vendor Master'!$B$6:$B$15,""),"")</f>
        <v/>
      </c>
      <c r="J4881">
        <f>IF(A4881="","",TEXT(A4881,"mmm-yyyy"))</f>
        <v/>
      </c>
    </row>
    <row r="4882">
      <c r="D4882">
        <f>IFERROR(XLOOKUP(C4882,'Vendor Master'!$A$6:$A$15,'Vendor Master'!$B$6:$B$15,""),"")</f>
        <v/>
      </c>
      <c r="J4882">
        <f>IF(A4882="","",TEXT(A4882,"mmm-yyyy"))</f>
        <v/>
      </c>
    </row>
    <row r="4883">
      <c r="D4883">
        <f>IFERROR(XLOOKUP(C4883,'Vendor Master'!$A$6:$A$15,'Vendor Master'!$B$6:$B$15,""),"")</f>
        <v/>
      </c>
      <c r="J4883">
        <f>IF(A4883="","",TEXT(A4883,"mmm-yyyy"))</f>
        <v/>
      </c>
    </row>
    <row r="4884">
      <c r="D4884">
        <f>IFERROR(XLOOKUP(C4884,'Vendor Master'!$A$6:$A$15,'Vendor Master'!$B$6:$B$15,""),"")</f>
        <v/>
      </c>
      <c r="J4884">
        <f>IF(A4884="","",TEXT(A4884,"mmm-yyyy"))</f>
        <v/>
      </c>
    </row>
    <row r="4885">
      <c r="D4885">
        <f>IFERROR(XLOOKUP(C4885,'Vendor Master'!$A$6:$A$15,'Vendor Master'!$B$6:$B$15,""),"")</f>
        <v/>
      </c>
      <c r="J4885">
        <f>IF(A4885="","",TEXT(A4885,"mmm-yyyy"))</f>
        <v/>
      </c>
    </row>
    <row r="4886">
      <c r="D4886">
        <f>IFERROR(XLOOKUP(C4886,'Vendor Master'!$A$6:$A$15,'Vendor Master'!$B$6:$B$15,""),"")</f>
        <v/>
      </c>
      <c r="J4886">
        <f>IF(A4886="","",TEXT(A4886,"mmm-yyyy"))</f>
        <v/>
      </c>
    </row>
    <row r="4887">
      <c r="D4887">
        <f>IFERROR(XLOOKUP(C4887,'Vendor Master'!$A$6:$A$15,'Vendor Master'!$B$6:$B$15,""),"")</f>
        <v/>
      </c>
      <c r="J4887">
        <f>IF(A4887="","",TEXT(A4887,"mmm-yyyy"))</f>
        <v/>
      </c>
    </row>
    <row r="4888">
      <c r="D4888">
        <f>IFERROR(XLOOKUP(C4888,'Vendor Master'!$A$6:$A$15,'Vendor Master'!$B$6:$B$15,""),"")</f>
        <v/>
      </c>
      <c r="J4888">
        <f>IF(A4888="","",TEXT(A4888,"mmm-yyyy"))</f>
        <v/>
      </c>
    </row>
    <row r="4889">
      <c r="D4889">
        <f>IFERROR(XLOOKUP(C4889,'Vendor Master'!$A$6:$A$15,'Vendor Master'!$B$6:$B$15,""),"")</f>
        <v/>
      </c>
      <c r="J4889">
        <f>IF(A4889="","",TEXT(A4889,"mmm-yyyy"))</f>
        <v/>
      </c>
    </row>
    <row r="4890">
      <c r="D4890">
        <f>IFERROR(XLOOKUP(C4890,'Vendor Master'!$A$6:$A$15,'Vendor Master'!$B$6:$B$15,""),"")</f>
        <v/>
      </c>
      <c r="J4890">
        <f>IF(A4890="","",TEXT(A4890,"mmm-yyyy"))</f>
        <v/>
      </c>
    </row>
    <row r="4891">
      <c r="D4891">
        <f>IFERROR(XLOOKUP(C4891,'Vendor Master'!$A$6:$A$15,'Vendor Master'!$B$6:$B$15,""),"")</f>
        <v/>
      </c>
      <c r="J4891">
        <f>IF(A4891="","",TEXT(A4891,"mmm-yyyy"))</f>
        <v/>
      </c>
    </row>
    <row r="4892">
      <c r="D4892">
        <f>IFERROR(XLOOKUP(C4892,'Vendor Master'!$A$6:$A$15,'Vendor Master'!$B$6:$B$15,""),"")</f>
        <v/>
      </c>
      <c r="J4892">
        <f>IF(A4892="","",TEXT(A4892,"mmm-yyyy"))</f>
        <v/>
      </c>
    </row>
    <row r="4893">
      <c r="D4893">
        <f>IFERROR(XLOOKUP(C4893,'Vendor Master'!$A$6:$A$15,'Vendor Master'!$B$6:$B$15,""),"")</f>
        <v/>
      </c>
      <c r="J4893">
        <f>IF(A4893="","",TEXT(A4893,"mmm-yyyy"))</f>
        <v/>
      </c>
    </row>
    <row r="4894">
      <c r="D4894">
        <f>IFERROR(XLOOKUP(C4894,'Vendor Master'!$A$6:$A$15,'Vendor Master'!$B$6:$B$15,""),"")</f>
        <v/>
      </c>
      <c r="J4894">
        <f>IF(A4894="","",TEXT(A4894,"mmm-yyyy"))</f>
        <v/>
      </c>
    </row>
    <row r="4895">
      <c r="D4895">
        <f>IFERROR(XLOOKUP(C4895,'Vendor Master'!$A$6:$A$15,'Vendor Master'!$B$6:$B$15,""),"")</f>
        <v/>
      </c>
      <c r="J4895">
        <f>IF(A4895="","",TEXT(A4895,"mmm-yyyy"))</f>
        <v/>
      </c>
    </row>
    <row r="4896">
      <c r="D4896">
        <f>IFERROR(XLOOKUP(C4896,'Vendor Master'!$A$6:$A$15,'Vendor Master'!$B$6:$B$15,""),"")</f>
        <v/>
      </c>
      <c r="J4896">
        <f>IF(A4896="","",TEXT(A4896,"mmm-yyyy"))</f>
        <v/>
      </c>
    </row>
    <row r="4897">
      <c r="D4897">
        <f>IFERROR(XLOOKUP(C4897,'Vendor Master'!$A$6:$A$15,'Vendor Master'!$B$6:$B$15,""),"")</f>
        <v/>
      </c>
      <c r="J4897">
        <f>IF(A4897="","",TEXT(A4897,"mmm-yyyy"))</f>
        <v/>
      </c>
    </row>
    <row r="4898">
      <c r="D4898">
        <f>IFERROR(XLOOKUP(C4898,'Vendor Master'!$A$6:$A$15,'Vendor Master'!$B$6:$B$15,""),"")</f>
        <v/>
      </c>
      <c r="J4898">
        <f>IF(A4898="","",TEXT(A4898,"mmm-yyyy"))</f>
        <v/>
      </c>
    </row>
    <row r="4899">
      <c r="D4899">
        <f>IFERROR(XLOOKUP(C4899,'Vendor Master'!$A$6:$A$15,'Vendor Master'!$B$6:$B$15,""),"")</f>
        <v/>
      </c>
      <c r="J4899">
        <f>IF(A4899="","",TEXT(A4899,"mmm-yyyy"))</f>
        <v/>
      </c>
    </row>
    <row r="4900">
      <c r="D4900">
        <f>IFERROR(XLOOKUP(C4900,'Vendor Master'!$A$6:$A$15,'Vendor Master'!$B$6:$B$15,""),"")</f>
        <v/>
      </c>
      <c r="J4900">
        <f>IF(A4900="","",TEXT(A4900,"mmm-yyyy"))</f>
        <v/>
      </c>
    </row>
    <row r="4901">
      <c r="D4901">
        <f>IFERROR(XLOOKUP(C4901,'Vendor Master'!$A$6:$A$15,'Vendor Master'!$B$6:$B$15,""),"")</f>
        <v/>
      </c>
      <c r="J4901">
        <f>IF(A4901="","",TEXT(A4901,"mmm-yyyy"))</f>
        <v/>
      </c>
    </row>
    <row r="4902">
      <c r="D4902">
        <f>IFERROR(XLOOKUP(C4902,'Vendor Master'!$A$6:$A$15,'Vendor Master'!$B$6:$B$15,""),"")</f>
        <v/>
      </c>
      <c r="J4902">
        <f>IF(A4902="","",TEXT(A4902,"mmm-yyyy"))</f>
        <v/>
      </c>
    </row>
    <row r="4903">
      <c r="D4903">
        <f>IFERROR(XLOOKUP(C4903,'Vendor Master'!$A$6:$A$15,'Vendor Master'!$B$6:$B$15,""),"")</f>
        <v/>
      </c>
      <c r="J4903">
        <f>IF(A4903="","",TEXT(A4903,"mmm-yyyy"))</f>
        <v/>
      </c>
    </row>
    <row r="4904">
      <c r="D4904">
        <f>IFERROR(XLOOKUP(C4904,'Vendor Master'!$A$6:$A$15,'Vendor Master'!$B$6:$B$15,""),"")</f>
        <v/>
      </c>
      <c r="J4904">
        <f>IF(A4904="","",TEXT(A4904,"mmm-yyyy"))</f>
        <v/>
      </c>
    </row>
    <row r="4905">
      <c r="D4905">
        <f>IFERROR(XLOOKUP(C4905,'Vendor Master'!$A$6:$A$15,'Vendor Master'!$B$6:$B$15,""),"")</f>
        <v/>
      </c>
      <c r="J4905">
        <f>IF(A4905="","",TEXT(A4905,"mmm-yyyy"))</f>
        <v/>
      </c>
    </row>
    <row r="4906">
      <c r="D4906">
        <f>IFERROR(XLOOKUP(C4906,'Vendor Master'!$A$6:$A$15,'Vendor Master'!$B$6:$B$15,""),"")</f>
        <v/>
      </c>
      <c r="J4906">
        <f>IF(A4906="","",TEXT(A4906,"mmm-yyyy"))</f>
        <v/>
      </c>
    </row>
    <row r="4907">
      <c r="D4907">
        <f>IFERROR(XLOOKUP(C4907,'Vendor Master'!$A$6:$A$15,'Vendor Master'!$B$6:$B$15,""),"")</f>
        <v/>
      </c>
      <c r="J4907">
        <f>IF(A4907="","",TEXT(A4907,"mmm-yyyy"))</f>
        <v/>
      </c>
    </row>
    <row r="4908">
      <c r="D4908">
        <f>IFERROR(XLOOKUP(C4908,'Vendor Master'!$A$6:$A$15,'Vendor Master'!$B$6:$B$15,""),"")</f>
        <v/>
      </c>
      <c r="J4908">
        <f>IF(A4908="","",TEXT(A4908,"mmm-yyyy"))</f>
        <v/>
      </c>
    </row>
    <row r="4909">
      <c r="D4909">
        <f>IFERROR(XLOOKUP(C4909,'Vendor Master'!$A$6:$A$15,'Vendor Master'!$B$6:$B$15,""),"")</f>
        <v/>
      </c>
      <c r="J4909">
        <f>IF(A4909="","",TEXT(A4909,"mmm-yyyy"))</f>
        <v/>
      </c>
    </row>
    <row r="4910">
      <c r="D4910">
        <f>IFERROR(XLOOKUP(C4910,'Vendor Master'!$A$6:$A$15,'Vendor Master'!$B$6:$B$15,""),"")</f>
        <v/>
      </c>
      <c r="J4910">
        <f>IF(A4910="","",TEXT(A4910,"mmm-yyyy"))</f>
        <v/>
      </c>
    </row>
    <row r="4911">
      <c r="D4911">
        <f>IFERROR(XLOOKUP(C4911,'Vendor Master'!$A$6:$A$15,'Vendor Master'!$B$6:$B$15,""),"")</f>
        <v/>
      </c>
      <c r="J4911">
        <f>IF(A4911="","",TEXT(A4911,"mmm-yyyy"))</f>
        <v/>
      </c>
    </row>
    <row r="4912">
      <c r="D4912">
        <f>IFERROR(XLOOKUP(C4912,'Vendor Master'!$A$6:$A$15,'Vendor Master'!$B$6:$B$15,""),"")</f>
        <v/>
      </c>
      <c r="J4912">
        <f>IF(A4912="","",TEXT(A4912,"mmm-yyyy"))</f>
        <v/>
      </c>
    </row>
    <row r="4913">
      <c r="D4913">
        <f>IFERROR(XLOOKUP(C4913,'Vendor Master'!$A$6:$A$15,'Vendor Master'!$B$6:$B$15,""),"")</f>
        <v/>
      </c>
      <c r="J4913">
        <f>IF(A4913="","",TEXT(A4913,"mmm-yyyy"))</f>
        <v/>
      </c>
    </row>
    <row r="4914">
      <c r="D4914">
        <f>IFERROR(XLOOKUP(C4914,'Vendor Master'!$A$6:$A$15,'Vendor Master'!$B$6:$B$15,""),"")</f>
        <v/>
      </c>
      <c r="J4914">
        <f>IF(A4914="","",TEXT(A4914,"mmm-yyyy"))</f>
        <v/>
      </c>
    </row>
    <row r="4915">
      <c r="D4915">
        <f>IFERROR(XLOOKUP(C4915,'Vendor Master'!$A$6:$A$15,'Vendor Master'!$B$6:$B$15,""),"")</f>
        <v/>
      </c>
      <c r="J4915">
        <f>IF(A4915="","",TEXT(A4915,"mmm-yyyy"))</f>
        <v/>
      </c>
    </row>
    <row r="4916">
      <c r="D4916">
        <f>IFERROR(XLOOKUP(C4916,'Vendor Master'!$A$6:$A$15,'Vendor Master'!$B$6:$B$15,""),"")</f>
        <v/>
      </c>
      <c r="J4916">
        <f>IF(A4916="","",TEXT(A4916,"mmm-yyyy"))</f>
        <v/>
      </c>
    </row>
    <row r="4917">
      <c r="D4917">
        <f>IFERROR(XLOOKUP(C4917,'Vendor Master'!$A$6:$A$15,'Vendor Master'!$B$6:$B$15,""),"")</f>
        <v/>
      </c>
      <c r="J4917">
        <f>IF(A4917="","",TEXT(A4917,"mmm-yyyy"))</f>
        <v/>
      </c>
    </row>
    <row r="4918">
      <c r="D4918">
        <f>IFERROR(XLOOKUP(C4918,'Vendor Master'!$A$6:$A$15,'Vendor Master'!$B$6:$B$15,""),"")</f>
        <v/>
      </c>
      <c r="J4918">
        <f>IF(A4918="","",TEXT(A4918,"mmm-yyyy"))</f>
        <v/>
      </c>
    </row>
    <row r="4919">
      <c r="D4919">
        <f>IFERROR(XLOOKUP(C4919,'Vendor Master'!$A$6:$A$15,'Vendor Master'!$B$6:$B$15,""),"")</f>
        <v/>
      </c>
      <c r="J4919">
        <f>IF(A4919="","",TEXT(A4919,"mmm-yyyy"))</f>
        <v/>
      </c>
    </row>
    <row r="4920">
      <c r="D4920">
        <f>IFERROR(XLOOKUP(C4920,'Vendor Master'!$A$6:$A$15,'Vendor Master'!$B$6:$B$15,""),"")</f>
        <v/>
      </c>
      <c r="J4920">
        <f>IF(A4920="","",TEXT(A4920,"mmm-yyyy"))</f>
        <v/>
      </c>
    </row>
    <row r="4921">
      <c r="D4921">
        <f>IFERROR(XLOOKUP(C4921,'Vendor Master'!$A$6:$A$15,'Vendor Master'!$B$6:$B$15,""),"")</f>
        <v/>
      </c>
      <c r="J4921">
        <f>IF(A4921="","",TEXT(A4921,"mmm-yyyy"))</f>
        <v/>
      </c>
    </row>
    <row r="4922">
      <c r="D4922">
        <f>IFERROR(XLOOKUP(C4922,'Vendor Master'!$A$6:$A$15,'Vendor Master'!$B$6:$B$15,""),"")</f>
        <v/>
      </c>
      <c r="J4922">
        <f>IF(A4922="","",TEXT(A4922,"mmm-yyyy"))</f>
        <v/>
      </c>
    </row>
    <row r="4923">
      <c r="D4923">
        <f>IFERROR(XLOOKUP(C4923,'Vendor Master'!$A$6:$A$15,'Vendor Master'!$B$6:$B$15,""),"")</f>
        <v/>
      </c>
      <c r="J4923">
        <f>IF(A4923="","",TEXT(A4923,"mmm-yyyy"))</f>
        <v/>
      </c>
    </row>
    <row r="4924">
      <c r="D4924">
        <f>IFERROR(XLOOKUP(C4924,'Vendor Master'!$A$6:$A$15,'Vendor Master'!$B$6:$B$15,""),"")</f>
        <v/>
      </c>
      <c r="J4924">
        <f>IF(A4924="","",TEXT(A4924,"mmm-yyyy"))</f>
        <v/>
      </c>
    </row>
    <row r="4925">
      <c r="D4925">
        <f>IFERROR(XLOOKUP(C4925,'Vendor Master'!$A$6:$A$15,'Vendor Master'!$B$6:$B$15,""),"")</f>
        <v/>
      </c>
      <c r="J4925">
        <f>IF(A4925="","",TEXT(A4925,"mmm-yyyy"))</f>
        <v/>
      </c>
    </row>
    <row r="4926">
      <c r="D4926">
        <f>IFERROR(XLOOKUP(C4926,'Vendor Master'!$A$6:$A$15,'Vendor Master'!$B$6:$B$15,""),"")</f>
        <v/>
      </c>
      <c r="J4926">
        <f>IF(A4926="","",TEXT(A4926,"mmm-yyyy"))</f>
        <v/>
      </c>
    </row>
    <row r="4927">
      <c r="D4927">
        <f>IFERROR(XLOOKUP(C4927,'Vendor Master'!$A$6:$A$15,'Vendor Master'!$B$6:$B$15,""),"")</f>
        <v/>
      </c>
      <c r="J4927">
        <f>IF(A4927="","",TEXT(A4927,"mmm-yyyy"))</f>
        <v/>
      </c>
    </row>
    <row r="4928">
      <c r="D4928">
        <f>IFERROR(XLOOKUP(C4928,'Vendor Master'!$A$6:$A$15,'Vendor Master'!$B$6:$B$15,""),"")</f>
        <v/>
      </c>
      <c r="J4928">
        <f>IF(A4928="","",TEXT(A4928,"mmm-yyyy"))</f>
        <v/>
      </c>
    </row>
    <row r="4929">
      <c r="D4929">
        <f>IFERROR(XLOOKUP(C4929,'Vendor Master'!$A$6:$A$15,'Vendor Master'!$B$6:$B$15,""),"")</f>
        <v/>
      </c>
      <c r="J4929">
        <f>IF(A4929="","",TEXT(A4929,"mmm-yyyy"))</f>
        <v/>
      </c>
    </row>
    <row r="4930">
      <c r="D4930">
        <f>IFERROR(XLOOKUP(C4930,'Vendor Master'!$A$6:$A$15,'Vendor Master'!$B$6:$B$15,""),"")</f>
        <v/>
      </c>
      <c r="J4930">
        <f>IF(A4930="","",TEXT(A4930,"mmm-yyyy"))</f>
        <v/>
      </c>
    </row>
    <row r="4931">
      <c r="D4931">
        <f>IFERROR(XLOOKUP(C4931,'Vendor Master'!$A$6:$A$15,'Vendor Master'!$B$6:$B$15,""),"")</f>
        <v/>
      </c>
      <c r="J4931">
        <f>IF(A4931="","",TEXT(A4931,"mmm-yyyy"))</f>
        <v/>
      </c>
    </row>
    <row r="4932">
      <c r="D4932">
        <f>IFERROR(XLOOKUP(C4932,'Vendor Master'!$A$6:$A$15,'Vendor Master'!$B$6:$B$15,""),"")</f>
        <v/>
      </c>
      <c r="J4932">
        <f>IF(A4932="","",TEXT(A4932,"mmm-yyyy"))</f>
        <v/>
      </c>
    </row>
    <row r="4933">
      <c r="D4933">
        <f>IFERROR(XLOOKUP(C4933,'Vendor Master'!$A$6:$A$15,'Vendor Master'!$B$6:$B$15,""),"")</f>
        <v/>
      </c>
      <c r="J4933">
        <f>IF(A4933="","",TEXT(A4933,"mmm-yyyy"))</f>
        <v/>
      </c>
    </row>
    <row r="4934">
      <c r="D4934">
        <f>IFERROR(XLOOKUP(C4934,'Vendor Master'!$A$6:$A$15,'Vendor Master'!$B$6:$B$15,""),"")</f>
        <v/>
      </c>
      <c r="J4934">
        <f>IF(A4934="","",TEXT(A4934,"mmm-yyyy"))</f>
        <v/>
      </c>
    </row>
    <row r="4935">
      <c r="D4935">
        <f>IFERROR(XLOOKUP(C4935,'Vendor Master'!$A$6:$A$15,'Vendor Master'!$B$6:$B$15,""),"")</f>
        <v/>
      </c>
      <c r="J4935">
        <f>IF(A4935="","",TEXT(A4935,"mmm-yyyy"))</f>
        <v/>
      </c>
    </row>
    <row r="4936">
      <c r="D4936">
        <f>IFERROR(XLOOKUP(C4936,'Vendor Master'!$A$6:$A$15,'Vendor Master'!$B$6:$B$15,""),"")</f>
        <v/>
      </c>
      <c r="J4936">
        <f>IF(A4936="","",TEXT(A4936,"mmm-yyyy"))</f>
        <v/>
      </c>
    </row>
    <row r="4937">
      <c r="D4937">
        <f>IFERROR(XLOOKUP(C4937,'Vendor Master'!$A$6:$A$15,'Vendor Master'!$B$6:$B$15,""),"")</f>
        <v/>
      </c>
      <c r="J4937">
        <f>IF(A4937="","",TEXT(A4937,"mmm-yyyy"))</f>
        <v/>
      </c>
    </row>
    <row r="4938">
      <c r="D4938">
        <f>IFERROR(XLOOKUP(C4938,'Vendor Master'!$A$6:$A$15,'Vendor Master'!$B$6:$B$15,""),"")</f>
        <v/>
      </c>
      <c r="J4938">
        <f>IF(A4938="","",TEXT(A4938,"mmm-yyyy"))</f>
        <v/>
      </c>
    </row>
    <row r="4939">
      <c r="D4939">
        <f>IFERROR(XLOOKUP(C4939,'Vendor Master'!$A$6:$A$15,'Vendor Master'!$B$6:$B$15,""),"")</f>
        <v/>
      </c>
      <c r="J4939">
        <f>IF(A4939="","",TEXT(A4939,"mmm-yyyy"))</f>
        <v/>
      </c>
    </row>
    <row r="4940">
      <c r="D4940">
        <f>IFERROR(XLOOKUP(C4940,'Vendor Master'!$A$6:$A$15,'Vendor Master'!$B$6:$B$15,""),"")</f>
        <v/>
      </c>
      <c r="J4940">
        <f>IF(A4940="","",TEXT(A4940,"mmm-yyyy"))</f>
        <v/>
      </c>
    </row>
    <row r="4941">
      <c r="D4941">
        <f>IFERROR(XLOOKUP(C4941,'Vendor Master'!$A$6:$A$15,'Vendor Master'!$B$6:$B$15,""),"")</f>
        <v/>
      </c>
      <c r="J4941">
        <f>IF(A4941="","",TEXT(A4941,"mmm-yyyy"))</f>
        <v/>
      </c>
    </row>
    <row r="4942">
      <c r="D4942">
        <f>IFERROR(XLOOKUP(C4942,'Vendor Master'!$A$6:$A$15,'Vendor Master'!$B$6:$B$15,""),"")</f>
        <v/>
      </c>
      <c r="J4942">
        <f>IF(A4942="","",TEXT(A4942,"mmm-yyyy"))</f>
        <v/>
      </c>
    </row>
    <row r="4943">
      <c r="D4943">
        <f>IFERROR(XLOOKUP(C4943,'Vendor Master'!$A$6:$A$15,'Vendor Master'!$B$6:$B$15,""),"")</f>
        <v/>
      </c>
      <c r="J4943">
        <f>IF(A4943="","",TEXT(A4943,"mmm-yyyy"))</f>
        <v/>
      </c>
    </row>
    <row r="4944">
      <c r="D4944">
        <f>IFERROR(XLOOKUP(C4944,'Vendor Master'!$A$6:$A$15,'Vendor Master'!$B$6:$B$15,""),"")</f>
        <v/>
      </c>
      <c r="J4944">
        <f>IF(A4944="","",TEXT(A4944,"mmm-yyyy"))</f>
        <v/>
      </c>
    </row>
    <row r="4945">
      <c r="D4945">
        <f>IFERROR(XLOOKUP(C4945,'Vendor Master'!$A$6:$A$15,'Vendor Master'!$B$6:$B$15,""),"")</f>
        <v/>
      </c>
      <c r="J4945">
        <f>IF(A4945="","",TEXT(A4945,"mmm-yyyy"))</f>
        <v/>
      </c>
    </row>
    <row r="4946">
      <c r="D4946">
        <f>IFERROR(XLOOKUP(C4946,'Vendor Master'!$A$6:$A$15,'Vendor Master'!$B$6:$B$15,""),"")</f>
        <v/>
      </c>
      <c r="J4946">
        <f>IF(A4946="","",TEXT(A4946,"mmm-yyyy"))</f>
        <v/>
      </c>
    </row>
    <row r="4947">
      <c r="D4947">
        <f>IFERROR(XLOOKUP(C4947,'Vendor Master'!$A$6:$A$15,'Vendor Master'!$B$6:$B$15,""),"")</f>
        <v/>
      </c>
      <c r="J4947">
        <f>IF(A4947="","",TEXT(A4947,"mmm-yyyy"))</f>
        <v/>
      </c>
    </row>
    <row r="4948">
      <c r="D4948">
        <f>IFERROR(XLOOKUP(C4948,'Vendor Master'!$A$6:$A$15,'Vendor Master'!$B$6:$B$15,""),"")</f>
        <v/>
      </c>
      <c r="J4948">
        <f>IF(A4948="","",TEXT(A4948,"mmm-yyyy"))</f>
        <v/>
      </c>
    </row>
    <row r="4949">
      <c r="D4949">
        <f>IFERROR(XLOOKUP(C4949,'Vendor Master'!$A$6:$A$15,'Vendor Master'!$B$6:$B$15,""),"")</f>
        <v/>
      </c>
      <c r="J4949">
        <f>IF(A4949="","",TEXT(A4949,"mmm-yyyy"))</f>
        <v/>
      </c>
    </row>
    <row r="4950">
      <c r="D4950">
        <f>IFERROR(XLOOKUP(C4950,'Vendor Master'!$A$6:$A$15,'Vendor Master'!$B$6:$B$15,""),"")</f>
        <v/>
      </c>
      <c r="J4950">
        <f>IF(A4950="","",TEXT(A4950,"mmm-yyyy"))</f>
        <v/>
      </c>
    </row>
    <row r="4951">
      <c r="D4951">
        <f>IFERROR(XLOOKUP(C4951,'Vendor Master'!$A$6:$A$15,'Vendor Master'!$B$6:$B$15,""),"")</f>
        <v/>
      </c>
      <c r="J4951">
        <f>IF(A4951="","",TEXT(A4951,"mmm-yyyy"))</f>
        <v/>
      </c>
    </row>
    <row r="4952">
      <c r="D4952">
        <f>IFERROR(XLOOKUP(C4952,'Vendor Master'!$A$6:$A$15,'Vendor Master'!$B$6:$B$15,""),"")</f>
        <v/>
      </c>
      <c r="J4952">
        <f>IF(A4952="","",TEXT(A4952,"mmm-yyyy"))</f>
        <v/>
      </c>
    </row>
    <row r="4953">
      <c r="D4953">
        <f>IFERROR(XLOOKUP(C4953,'Vendor Master'!$A$6:$A$15,'Vendor Master'!$B$6:$B$15,""),"")</f>
        <v/>
      </c>
      <c r="J4953">
        <f>IF(A4953="","",TEXT(A4953,"mmm-yyyy"))</f>
        <v/>
      </c>
    </row>
    <row r="4954">
      <c r="D4954">
        <f>IFERROR(XLOOKUP(C4954,'Vendor Master'!$A$6:$A$15,'Vendor Master'!$B$6:$B$15,""),"")</f>
        <v/>
      </c>
      <c r="J4954">
        <f>IF(A4954="","",TEXT(A4954,"mmm-yyyy"))</f>
        <v/>
      </c>
    </row>
    <row r="4955">
      <c r="D4955">
        <f>IFERROR(XLOOKUP(C4955,'Vendor Master'!$A$6:$A$15,'Vendor Master'!$B$6:$B$15,""),"")</f>
        <v/>
      </c>
      <c r="J4955">
        <f>IF(A4955="","",TEXT(A4955,"mmm-yyyy"))</f>
        <v/>
      </c>
    </row>
    <row r="4956">
      <c r="D4956">
        <f>IFERROR(XLOOKUP(C4956,'Vendor Master'!$A$6:$A$15,'Vendor Master'!$B$6:$B$15,""),"")</f>
        <v/>
      </c>
      <c r="J4956">
        <f>IF(A4956="","",TEXT(A4956,"mmm-yyyy"))</f>
        <v/>
      </c>
    </row>
    <row r="4957">
      <c r="D4957">
        <f>IFERROR(XLOOKUP(C4957,'Vendor Master'!$A$6:$A$15,'Vendor Master'!$B$6:$B$15,""),"")</f>
        <v/>
      </c>
      <c r="J4957">
        <f>IF(A4957="","",TEXT(A4957,"mmm-yyyy"))</f>
        <v/>
      </c>
    </row>
    <row r="4958">
      <c r="D4958">
        <f>IFERROR(XLOOKUP(C4958,'Vendor Master'!$A$6:$A$15,'Vendor Master'!$B$6:$B$15,""),"")</f>
        <v/>
      </c>
      <c r="J4958">
        <f>IF(A4958="","",TEXT(A4958,"mmm-yyyy"))</f>
        <v/>
      </c>
    </row>
    <row r="4959">
      <c r="D4959">
        <f>IFERROR(XLOOKUP(C4959,'Vendor Master'!$A$6:$A$15,'Vendor Master'!$B$6:$B$15,""),"")</f>
        <v/>
      </c>
      <c r="J4959">
        <f>IF(A4959="","",TEXT(A4959,"mmm-yyyy"))</f>
        <v/>
      </c>
    </row>
    <row r="4960">
      <c r="D4960">
        <f>IFERROR(XLOOKUP(C4960,'Vendor Master'!$A$6:$A$15,'Vendor Master'!$B$6:$B$15,""),"")</f>
        <v/>
      </c>
      <c r="J4960">
        <f>IF(A4960="","",TEXT(A4960,"mmm-yyyy"))</f>
        <v/>
      </c>
    </row>
    <row r="4961">
      <c r="D4961">
        <f>IFERROR(XLOOKUP(C4961,'Vendor Master'!$A$6:$A$15,'Vendor Master'!$B$6:$B$15,""),"")</f>
        <v/>
      </c>
      <c r="J4961">
        <f>IF(A4961="","",TEXT(A4961,"mmm-yyyy"))</f>
        <v/>
      </c>
    </row>
    <row r="4962">
      <c r="D4962">
        <f>IFERROR(XLOOKUP(C4962,'Vendor Master'!$A$6:$A$15,'Vendor Master'!$B$6:$B$15,""),"")</f>
        <v/>
      </c>
      <c r="J4962">
        <f>IF(A4962="","",TEXT(A4962,"mmm-yyyy"))</f>
        <v/>
      </c>
    </row>
    <row r="4963">
      <c r="D4963">
        <f>IFERROR(XLOOKUP(C4963,'Vendor Master'!$A$6:$A$15,'Vendor Master'!$B$6:$B$15,""),"")</f>
        <v/>
      </c>
      <c r="J4963">
        <f>IF(A4963="","",TEXT(A4963,"mmm-yyyy"))</f>
        <v/>
      </c>
    </row>
    <row r="4964">
      <c r="D4964">
        <f>IFERROR(XLOOKUP(C4964,'Vendor Master'!$A$6:$A$15,'Vendor Master'!$B$6:$B$15,""),"")</f>
        <v/>
      </c>
      <c r="J4964">
        <f>IF(A4964="","",TEXT(A4964,"mmm-yyyy"))</f>
        <v/>
      </c>
    </row>
    <row r="4965">
      <c r="D4965">
        <f>IFERROR(XLOOKUP(C4965,'Vendor Master'!$A$6:$A$15,'Vendor Master'!$B$6:$B$15,""),"")</f>
        <v/>
      </c>
      <c r="J4965">
        <f>IF(A4965="","",TEXT(A4965,"mmm-yyyy"))</f>
        <v/>
      </c>
    </row>
    <row r="4966">
      <c r="D4966">
        <f>IFERROR(XLOOKUP(C4966,'Vendor Master'!$A$6:$A$15,'Vendor Master'!$B$6:$B$15,""),"")</f>
        <v/>
      </c>
      <c r="J4966">
        <f>IF(A4966="","",TEXT(A4966,"mmm-yyyy"))</f>
        <v/>
      </c>
    </row>
    <row r="4967">
      <c r="D4967">
        <f>IFERROR(XLOOKUP(C4967,'Vendor Master'!$A$6:$A$15,'Vendor Master'!$B$6:$B$15,""),"")</f>
        <v/>
      </c>
      <c r="J4967">
        <f>IF(A4967="","",TEXT(A4967,"mmm-yyyy"))</f>
        <v/>
      </c>
    </row>
    <row r="4968">
      <c r="D4968">
        <f>IFERROR(XLOOKUP(C4968,'Vendor Master'!$A$6:$A$15,'Vendor Master'!$B$6:$B$15,""),"")</f>
        <v/>
      </c>
      <c r="J4968">
        <f>IF(A4968="","",TEXT(A4968,"mmm-yyyy"))</f>
        <v/>
      </c>
    </row>
    <row r="4969">
      <c r="D4969">
        <f>IFERROR(XLOOKUP(C4969,'Vendor Master'!$A$6:$A$15,'Vendor Master'!$B$6:$B$15,""),"")</f>
        <v/>
      </c>
      <c r="J4969">
        <f>IF(A4969="","",TEXT(A4969,"mmm-yyyy"))</f>
        <v/>
      </c>
    </row>
    <row r="4970">
      <c r="D4970">
        <f>IFERROR(XLOOKUP(C4970,'Vendor Master'!$A$6:$A$15,'Vendor Master'!$B$6:$B$15,""),"")</f>
        <v/>
      </c>
      <c r="J4970">
        <f>IF(A4970="","",TEXT(A4970,"mmm-yyyy"))</f>
        <v/>
      </c>
    </row>
    <row r="4971">
      <c r="D4971">
        <f>IFERROR(XLOOKUP(C4971,'Vendor Master'!$A$6:$A$15,'Vendor Master'!$B$6:$B$15,""),"")</f>
        <v/>
      </c>
      <c r="J4971">
        <f>IF(A4971="","",TEXT(A4971,"mmm-yyyy"))</f>
        <v/>
      </c>
    </row>
    <row r="4972">
      <c r="D4972">
        <f>IFERROR(XLOOKUP(C4972,'Vendor Master'!$A$6:$A$15,'Vendor Master'!$B$6:$B$15,""),"")</f>
        <v/>
      </c>
      <c r="J4972">
        <f>IF(A4972="","",TEXT(A4972,"mmm-yyyy"))</f>
        <v/>
      </c>
    </row>
    <row r="4973">
      <c r="D4973">
        <f>IFERROR(XLOOKUP(C4973,'Vendor Master'!$A$6:$A$15,'Vendor Master'!$B$6:$B$15,""),"")</f>
        <v/>
      </c>
      <c r="J4973">
        <f>IF(A4973="","",TEXT(A4973,"mmm-yyyy"))</f>
        <v/>
      </c>
    </row>
    <row r="4974">
      <c r="D4974">
        <f>IFERROR(XLOOKUP(C4974,'Vendor Master'!$A$6:$A$15,'Vendor Master'!$B$6:$B$15,""),"")</f>
        <v/>
      </c>
      <c r="J4974">
        <f>IF(A4974="","",TEXT(A4974,"mmm-yyyy"))</f>
        <v/>
      </c>
    </row>
    <row r="4975">
      <c r="D4975">
        <f>IFERROR(XLOOKUP(C4975,'Vendor Master'!$A$6:$A$15,'Vendor Master'!$B$6:$B$15,""),"")</f>
        <v/>
      </c>
      <c r="J4975">
        <f>IF(A4975="","",TEXT(A4975,"mmm-yyyy"))</f>
        <v/>
      </c>
    </row>
    <row r="4976">
      <c r="D4976">
        <f>IFERROR(XLOOKUP(C4976,'Vendor Master'!$A$6:$A$15,'Vendor Master'!$B$6:$B$15,""),"")</f>
        <v/>
      </c>
      <c r="J4976">
        <f>IF(A4976="","",TEXT(A4976,"mmm-yyyy"))</f>
        <v/>
      </c>
    </row>
    <row r="4977">
      <c r="D4977">
        <f>IFERROR(XLOOKUP(C4977,'Vendor Master'!$A$6:$A$15,'Vendor Master'!$B$6:$B$15,""),"")</f>
        <v/>
      </c>
      <c r="J4977">
        <f>IF(A4977="","",TEXT(A4977,"mmm-yyyy"))</f>
        <v/>
      </c>
    </row>
    <row r="4978">
      <c r="D4978">
        <f>IFERROR(XLOOKUP(C4978,'Vendor Master'!$A$6:$A$15,'Vendor Master'!$B$6:$B$15,""),"")</f>
        <v/>
      </c>
      <c r="J4978">
        <f>IF(A4978="","",TEXT(A4978,"mmm-yyyy"))</f>
        <v/>
      </c>
    </row>
    <row r="4979">
      <c r="D4979">
        <f>IFERROR(XLOOKUP(C4979,'Vendor Master'!$A$6:$A$15,'Vendor Master'!$B$6:$B$15,""),"")</f>
        <v/>
      </c>
      <c r="J4979">
        <f>IF(A4979="","",TEXT(A4979,"mmm-yyyy"))</f>
        <v/>
      </c>
    </row>
    <row r="4980">
      <c r="D4980">
        <f>IFERROR(XLOOKUP(C4980,'Vendor Master'!$A$6:$A$15,'Vendor Master'!$B$6:$B$15,""),"")</f>
        <v/>
      </c>
      <c r="J4980">
        <f>IF(A4980="","",TEXT(A4980,"mmm-yyyy"))</f>
        <v/>
      </c>
    </row>
    <row r="4981">
      <c r="D4981">
        <f>IFERROR(XLOOKUP(C4981,'Vendor Master'!$A$6:$A$15,'Vendor Master'!$B$6:$B$15,""),"")</f>
        <v/>
      </c>
      <c r="J4981">
        <f>IF(A4981="","",TEXT(A4981,"mmm-yyyy"))</f>
        <v/>
      </c>
    </row>
    <row r="4982">
      <c r="D4982">
        <f>IFERROR(XLOOKUP(C4982,'Vendor Master'!$A$6:$A$15,'Vendor Master'!$B$6:$B$15,""),"")</f>
        <v/>
      </c>
      <c r="J4982">
        <f>IF(A4982="","",TEXT(A4982,"mmm-yyyy"))</f>
        <v/>
      </c>
    </row>
    <row r="4983">
      <c r="D4983">
        <f>IFERROR(XLOOKUP(C4983,'Vendor Master'!$A$6:$A$15,'Vendor Master'!$B$6:$B$15,""),"")</f>
        <v/>
      </c>
      <c r="J4983">
        <f>IF(A4983="","",TEXT(A4983,"mmm-yyyy"))</f>
        <v/>
      </c>
    </row>
    <row r="4984">
      <c r="D4984">
        <f>IFERROR(XLOOKUP(C4984,'Vendor Master'!$A$6:$A$15,'Vendor Master'!$B$6:$B$15,""),"")</f>
        <v/>
      </c>
      <c r="J4984">
        <f>IF(A4984="","",TEXT(A4984,"mmm-yyyy"))</f>
        <v/>
      </c>
    </row>
    <row r="4985">
      <c r="D4985">
        <f>IFERROR(XLOOKUP(C4985,'Vendor Master'!$A$6:$A$15,'Vendor Master'!$B$6:$B$15,""),"")</f>
        <v/>
      </c>
      <c r="J4985">
        <f>IF(A4985="","",TEXT(A4985,"mmm-yyyy"))</f>
        <v/>
      </c>
    </row>
    <row r="4986">
      <c r="D4986">
        <f>IFERROR(XLOOKUP(C4986,'Vendor Master'!$A$6:$A$15,'Vendor Master'!$B$6:$B$15,""),"")</f>
        <v/>
      </c>
      <c r="J4986">
        <f>IF(A4986="","",TEXT(A4986,"mmm-yyyy"))</f>
        <v/>
      </c>
    </row>
    <row r="4987">
      <c r="D4987">
        <f>IFERROR(XLOOKUP(C4987,'Vendor Master'!$A$6:$A$15,'Vendor Master'!$B$6:$B$15,""),"")</f>
        <v/>
      </c>
      <c r="J4987">
        <f>IF(A4987="","",TEXT(A4987,"mmm-yyyy"))</f>
        <v/>
      </c>
    </row>
    <row r="4988">
      <c r="D4988">
        <f>IFERROR(XLOOKUP(C4988,'Vendor Master'!$A$6:$A$15,'Vendor Master'!$B$6:$B$15,""),"")</f>
        <v/>
      </c>
      <c r="J4988">
        <f>IF(A4988="","",TEXT(A4988,"mmm-yyyy"))</f>
        <v/>
      </c>
    </row>
    <row r="4989">
      <c r="D4989">
        <f>IFERROR(XLOOKUP(C4989,'Vendor Master'!$A$6:$A$15,'Vendor Master'!$B$6:$B$15,""),"")</f>
        <v/>
      </c>
      <c r="J4989">
        <f>IF(A4989="","",TEXT(A4989,"mmm-yyyy"))</f>
        <v/>
      </c>
    </row>
    <row r="4990">
      <c r="D4990">
        <f>IFERROR(XLOOKUP(C4990,'Vendor Master'!$A$6:$A$15,'Vendor Master'!$B$6:$B$15,""),"")</f>
        <v/>
      </c>
      <c r="J4990">
        <f>IF(A4990="","",TEXT(A4990,"mmm-yyyy"))</f>
        <v/>
      </c>
    </row>
    <row r="4991">
      <c r="D4991">
        <f>IFERROR(XLOOKUP(C4991,'Vendor Master'!$A$6:$A$15,'Vendor Master'!$B$6:$B$15,""),"")</f>
        <v/>
      </c>
      <c r="J4991">
        <f>IF(A4991="","",TEXT(A4991,"mmm-yyyy"))</f>
        <v/>
      </c>
    </row>
    <row r="4992">
      <c r="D4992">
        <f>IFERROR(XLOOKUP(C4992,'Vendor Master'!$A$6:$A$15,'Vendor Master'!$B$6:$B$15,""),"")</f>
        <v/>
      </c>
      <c r="J4992">
        <f>IF(A4992="","",TEXT(A4992,"mmm-yyyy"))</f>
        <v/>
      </c>
    </row>
    <row r="4993">
      <c r="D4993">
        <f>IFERROR(XLOOKUP(C4993,'Vendor Master'!$A$6:$A$15,'Vendor Master'!$B$6:$B$15,""),"")</f>
        <v/>
      </c>
      <c r="J4993">
        <f>IF(A4993="","",TEXT(A4993,"mmm-yyyy"))</f>
        <v/>
      </c>
    </row>
    <row r="4994">
      <c r="D4994">
        <f>IFERROR(XLOOKUP(C4994,'Vendor Master'!$A$6:$A$15,'Vendor Master'!$B$6:$B$15,""),"")</f>
        <v/>
      </c>
      <c r="J4994">
        <f>IF(A4994="","",TEXT(A4994,"mmm-yyyy"))</f>
        <v/>
      </c>
    </row>
    <row r="4995">
      <c r="D4995">
        <f>IFERROR(XLOOKUP(C4995,'Vendor Master'!$A$6:$A$15,'Vendor Master'!$B$6:$B$15,""),"")</f>
        <v/>
      </c>
      <c r="J4995">
        <f>IF(A4995="","",TEXT(A4995,"mmm-yyyy"))</f>
        <v/>
      </c>
    </row>
    <row r="4996">
      <c r="D4996">
        <f>IFERROR(XLOOKUP(C4996,'Vendor Master'!$A$6:$A$15,'Vendor Master'!$B$6:$B$15,""),"")</f>
        <v/>
      </c>
      <c r="J4996">
        <f>IF(A4996="","",TEXT(A4996,"mmm-yyyy"))</f>
        <v/>
      </c>
    </row>
    <row r="4997">
      <c r="D4997">
        <f>IFERROR(XLOOKUP(C4997,'Vendor Master'!$A$6:$A$15,'Vendor Master'!$B$6:$B$15,""),"")</f>
        <v/>
      </c>
      <c r="J4997">
        <f>IF(A4997="","",TEXT(A4997,"mmm-yyyy"))</f>
        <v/>
      </c>
    </row>
    <row r="4998">
      <c r="D4998">
        <f>IFERROR(XLOOKUP(C4998,'Vendor Master'!$A$6:$A$15,'Vendor Master'!$B$6:$B$15,""),"")</f>
        <v/>
      </c>
      <c r="J4998">
        <f>IF(A4998="","",TEXT(A4998,"mmm-yyyy"))</f>
        <v/>
      </c>
    </row>
    <row r="4999">
      <c r="D4999">
        <f>IFERROR(XLOOKUP(C4999,'Vendor Master'!$A$6:$A$15,'Vendor Master'!$B$6:$B$15,""),"")</f>
        <v/>
      </c>
      <c r="J4999">
        <f>IF(A4999="","",TEXT(A4999,"mmm-yyyy"))</f>
        <v/>
      </c>
    </row>
    <row r="5000">
      <c r="D5000">
        <f>IFERROR(XLOOKUP(C5000,'Vendor Master'!$A$6:$A$15,'Vendor Master'!$B$6:$B$15,""),"")</f>
        <v/>
      </c>
      <c r="J5000">
        <f>IF(A5000="","",TEXT(A5000,"mmm-yyyy"))</f>
        <v/>
      </c>
    </row>
  </sheetData>
  <mergeCells count="2">
    <mergeCell ref="A1:J1"/>
    <mergeCell ref="A2:J2"/>
  </mergeCells>
  <dataValidations count="1">
    <dataValidation sqref="C6:C5000" showDropDown="0" showInputMessage="0" showErrorMessage="0" allowBlank="0" type="list">
      <formula1>'Vendor Master'!$A$6:$A$15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ALPHA YARN SUPPLIERS — VENDOR LEDGER</t>
        </is>
      </c>
    </row>
    <row r="2">
      <c r="A2" s="2" t="inlineStr">
        <is>
          <t>Vendor ID: V001 | Category: Yarn | Linked to Transactions</t>
        </is>
      </c>
    </row>
    <row r="3">
      <c r="A3" s="3" t="inlineStr">
        <is>
          <t>Vendor ID</t>
        </is>
      </c>
      <c r="B3" s="10" t="inlineStr">
        <is>
          <t>V001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PAK TEXTILE TRADERS — VENDOR LEDGER</t>
        </is>
      </c>
    </row>
    <row r="2">
      <c r="A2" s="2" t="inlineStr">
        <is>
          <t>Vendor ID: V002 | Category: Textile | Linked to Transactions</t>
        </is>
      </c>
    </row>
    <row r="3">
      <c r="A3" s="3" t="inlineStr">
        <is>
          <t>Vendor ID</t>
        </is>
      </c>
      <c r="B3" s="10" t="inlineStr">
        <is>
          <t>V002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FAISAL ENGINEERING WORKS — VENDOR LEDGER</t>
        </is>
      </c>
    </row>
    <row r="2">
      <c r="A2" s="2" t="inlineStr">
        <is>
          <t>Vendor ID: V003 | Category: Engineering | Linked to Transactions</t>
        </is>
      </c>
    </row>
    <row r="3">
      <c r="A3" s="3" t="inlineStr">
        <is>
          <t>Vendor ID</t>
        </is>
      </c>
      <c r="B3" s="10" t="inlineStr">
        <is>
          <t>V003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CITY PACKING SOLUTIONS — VENDOR LEDGER</t>
        </is>
      </c>
    </row>
    <row r="2">
      <c r="A2" s="2" t="inlineStr">
        <is>
          <t>Vendor ID: V004 | Category: Packing | Linked to Transactions</t>
        </is>
      </c>
    </row>
    <row r="3">
      <c r="A3" s="3" t="inlineStr">
        <is>
          <t>Vendor ID</t>
        </is>
      </c>
      <c r="B3" s="10" t="inlineStr">
        <is>
          <t>V004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PRIME CHEMICAL SUPPLIERS — VENDOR LEDGER</t>
        </is>
      </c>
    </row>
    <row r="2">
      <c r="A2" s="2" t="inlineStr">
        <is>
          <t>Vendor ID: V005 | Category: Chemicals | Linked to Transactions</t>
        </is>
      </c>
    </row>
    <row r="3">
      <c r="A3" s="3" t="inlineStr">
        <is>
          <t>Vendor ID</t>
        </is>
      </c>
      <c r="B3" s="10" t="inlineStr">
        <is>
          <t>V005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METRO ELECTRICALS — VENDOR LEDGER</t>
        </is>
      </c>
    </row>
    <row r="2">
      <c r="A2" s="2" t="inlineStr">
        <is>
          <t>Vendor ID: V006 | Category: Electrical | Linked to Transactions</t>
        </is>
      </c>
    </row>
    <row r="3">
      <c r="A3" s="3" t="inlineStr">
        <is>
          <t>Vendor ID</t>
        </is>
      </c>
      <c r="B3" s="10" t="inlineStr">
        <is>
          <t>V006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UNITED SPARE PARTS — VENDOR LEDGER</t>
        </is>
      </c>
    </row>
    <row r="2">
      <c r="A2" s="2" t="inlineStr">
        <is>
          <t>Vendor ID: V007 | Category: Spare Parts | Linked to Transactions</t>
        </is>
      </c>
    </row>
    <row r="3">
      <c r="A3" s="3" t="inlineStr">
        <is>
          <t>Vendor ID</t>
        </is>
      </c>
      <c r="B3" s="10" t="inlineStr">
        <is>
          <t>V007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NATIONAL TRANSPORT SERVICES — VENDOR LEDGER</t>
        </is>
      </c>
    </row>
    <row r="2">
      <c r="A2" s="2" t="inlineStr">
        <is>
          <t>Vendor ID: V008 | Category: Transport | Linked to Transactions</t>
        </is>
      </c>
    </row>
    <row r="3">
      <c r="A3" s="3" t="inlineStr">
        <is>
          <t>Vendor ID</t>
        </is>
      </c>
      <c r="B3" s="10" t="inlineStr">
        <is>
          <t>V008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QUALITY LUBRICANTS — VENDOR LEDGER</t>
        </is>
      </c>
    </row>
    <row r="2">
      <c r="A2" s="2" t="inlineStr">
        <is>
          <t>Vendor ID: V009 | Category: Lubricants | Linked to Transactions</t>
        </is>
      </c>
    </row>
    <row r="3">
      <c r="A3" s="3" t="inlineStr">
        <is>
          <t>Vendor ID</t>
        </is>
      </c>
      <c r="B3" s="10" t="inlineStr">
        <is>
          <t>V009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INDUSTRIAL SAFETY HOUSE — VENDOR LEDGER</t>
        </is>
      </c>
    </row>
    <row r="2">
      <c r="A2" s="2" t="inlineStr">
        <is>
          <t>Vendor ID: V010 | Category: Safety | Linked to Transactions</t>
        </is>
      </c>
    </row>
    <row r="3">
      <c r="A3" s="3" t="inlineStr">
        <is>
          <t>Vendor ID</t>
        </is>
      </c>
      <c r="B3" s="10" t="inlineStr">
        <is>
          <t>V010</t>
        </is>
      </c>
      <c r="D3" s="15" t="inlineStr">
        <is>
          <t>← BACK TO LEDGER INDEX</t>
        </is>
      </c>
    </row>
    <row r="5">
      <c r="A5" s="3" t="inlineStr">
        <is>
          <t>Opening Balance</t>
        </is>
      </c>
      <c r="B5" s="11">
        <f>XLOOKUP($B$3,'Vendor Master'!A6:A15,'Vendor Master'!G6:G15,0)</f>
        <v/>
      </c>
      <c r="D5" s="3" t="inlineStr">
        <is>
          <t>Total Debit</t>
        </is>
      </c>
      <c r="E5" s="11">
        <f>SUMIFS(Transactions!F:F,Transactions!C:C,$B$3)</f>
        <v/>
      </c>
      <c r="G5" s="3" t="inlineStr">
        <is>
          <t>Total Credit</t>
        </is>
      </c>
      <c r="H5" s="11">
        <f>SUMIFS(Transactions!G:G,Transactions!C:C,$B$3)</f>
        <v/>
      </c>
    </row>
    <row r="6">
      <c r="A6" s="12" t="inlineStr">
        <is>
          <t>Closing Balance</t>
        </is>
      </c>
      <c r="B6" s="13">
        <f>B5+E5-H5</f>
        <v/>
      </c>
    </row>
    <row r="8">
      <c r="A8" s="6" t="inlineStr">
        <is>
          <t>Date</t>
        </is>
      </c>
      <c r="B8" s="6" t="inlineStr">
        <is>
          <t>Voucher No.</t>
        </is>
      </c>
      <c r="C8" s="6" t="inlineStr">
        <is>
          <t>Description</t>
        </is>
      </c>
      <c r="D8" s="6" t="inlineStr">
        <is>
          <t>Debit</t>
        </is>
      </c>
      <c r="E8" s="6" t="inlineStr">
        <is>
          <t>Credit</t>
        </is>
      </c>
      <c r="F8" s="6" t="inlineStr">
        <is>
          <t>Running Balance</t>
        </is>
      </c>
      <c r="G8" s="6" t="inlineStr">
        <is>
          <t>Reference</t>
        </is>
      </c>
      <c r="H8" s="6" t="inlineStr">
        <is>
          <t>Month</t>
        </is>
      </c>
      <c r="I8" s="6" t="inlineStr">
        <is>
          <t>Vendor ID</t>
        </is>
      </c>
    </row>
    <row r="9">
      <c r="A9" s="16">
        <f>IFERROR(INDEX(Transactions!$A$6:$A$5000,AGGREGATE(15,6,(ROW(Transactions!$C$6:$C$5000)-ROW(Transactions!$C$6)+1)/(Transactions!$C$6:$C$5000=$B$3),ROWS($A$9:A9))),"")</f>
        <v/>
      </c>
      <c r="B9">
        <f>IF($A9="","",INDEX(Transactions!$B$6:$B$5000,AGGREGATE(15,6,(ROW(Transactions!$C$6:$C$5000)-ROW(Transactions!$C$6)+1)/(Transactions!$C$6:$C$5000=$B$3),ROWS($A$9:A9))))</f>
        <v/>
      </c>
      <c r="C9">
        <f>IF($A9="","",INDEX(Transactions!$E$6:$E$5000,AGGREGATE(15,6,(ROW(Transactions!$C$6:$C$5000)-ROW(Transactions!$C$6)+1)/(Transactions!$C$6:$C$5000=$B$3),ROWS($A$9:A9))))</f>
        <v/>
      </c>
      <c r="D9" s="7">
        <f>IF($A9="","",INDEX(Transactions!$F$6:$F$5000,AGGREGATE(15,6,(ROW(Transactions!$C$6:$C$5000)-ROW(Transactions!$C$6)+1)/(Transactions!$C$6:$C$5000=$B$3),ROWS($A$9:A9))))</f>
        <v/>
      </c>
      <c r="E9" s="7">
        <f>IF($A9="","",INDEX(Transactions!$G$6:$G$5000,AGGREGATE(15,6,(ROW(Transactions!$C$6:$C$5000)-ROW(Transactions!$C$6)+1)/(Transactions!$C$6:$C$5000=$B$3),ROWS($A$9:A9))))</f>
        <v/>
      </c>
      <c r="F9" s="7">
        <f>IF($A9="","",$B$5+SUM($D$9:D9)-SUM($E$9:E9))</f>
        <v/>
      </c>
      <c r="G9">
        <f>IF($A9="","",INDEX(Transactions!$H$6:$H$5000,AGGREGATE(15,6,(ROW(Transactions!$C$6:$C$5000)-ROW(Transactions!$C$6)+1)/(Transactions!$C$6:$C$5000=$B$3),ROWS($A$9:A9))))</f>
        <v/>
      </c>
      <c r="H9">
        <f>IF($A9="","",TEXT($A9,"mmm-yyyy"))</f>
        <v/>
      </c>
      <c r="I9">
        <f>IF($A9="","",$B$3)</f>
        <v/>
      </c>
    </row>
    <row r="10">
      <c r="A10" s="16">
        <f>IFERROR(INDEX(Transactions!$A$6:$A$5000,AGGREGATE(15,6,(ROW(Transactions!$C$6:$C$5000)-ROW(Transactions!$C$6)+1)/(Transactions!$C$6:$C$5000=$B$3),ROWS($A$9:A10))),"")</f>
        <v/>
      </c>
      <c r="B10">
        <f>IF($A10="","",INDEX(Transactions!$B$6:$B$5000,AGGREGATE(15,6,(ROW(Transactions!$C$6:$C$5000)-ROW(Transactions!$C$6)+1)/(Transactions!$C$6:$C$5000=$B$3),ROWS($A$9:A10))))</f>
        <v/>
      </c>
      <c r="C10">
        <f>IF($A10="","",INDEX(Transactions!$E$6:$E$5000,AGGREGATE(15,6,(ROW(Transactions!$C$6:$C$5000)-ROW(Transactions!$C$6)+1)/(Transactions!$C$6:$C$5000=$B$3),ROWS($A$9:A10))))</f>
        <v/>
      </c>
      <c r="D10" s="7">
        <f>IF($A10="","",INDEX(Transactions!$F$6:$F$5000,AGGREGATE(15,6,(ROW(Transactions!$C$6:$C$5000)-ROW(Transactions!$C$6)+1)/(Transactions!$C$6:$C$5000=$B$3),ROWS($A$9:A10))))</f>
        <v/>
      </c>
      <c r="E10" s="7">
        <f>IF($A10="","",INDEX(Transactions!$G$6:$G$5000,AGGREGATE(15,6,(ROW(Transactions!$C$6:$C$5000)-ROW(Transactions!$C$6)+1)/(Transactions!$C$6:$C$5000=$B$3),ROWS($A$9:A10))))</f>
        <v/>
      </c>
      <c r="F10" s="7">
        <f>IF($A10="","",$B$5+SUM($D$9:D10)-SUM($E$9:E10))</f>
        <v/>
      </c>
      <c r="G10">
        <f>IF($A10="","",INDEX(Transactions!$H$6:$H$5000,AGGREGATE(15,6,(ROW(Transactions!$C$6:$C$5000)-ROW(Transactions!$C$6)+1)/(Transactions!$C$6:$C$5000=$B$3),ROWS($A$9:A10))))</f>
        <v/>
      </c>
      <c r="H10">
        <f>IF($A10="","",TEXT($A10,"mmm-yyyy"))</f>
        <v/>
      </c>
      <c r="I10">
        <f>IF($A10="","",$B$3)</f>
        <v/>
      </c>
    </row>
    <row r="11">
      <c r="A11" s="16">
        <f>IFERROR(INDEX(Transactions!$A$6:$A$5000,AGGREGATE(15,6,(ROW(Transactions!$C$6:$C$5000)-ROW(Transactions!$C$6)+1)/(Transactions!$C$6:$C$5000=$B$3),ROWS($A$9:A11))),"")</f>
        <v/>
      </c>
      <c r="B11">
        <f>IF($A11="","",INDEX(Transactions!$B$6:$B$5000,AGGREGATE(15,6,(ROW(Transactions!$C$6:$C$5000)-ROW(Transactions!$C$6)+1)/(Transactions!$C$6:$C$5000=$B$3),ROWS($A$9:A11))))</f>
        <v/>
      </c>
      <c r="C11">
        <f>IF($A11="","",INDEX(Transactions!$E$6:$E$5000,AGGREGATE(15,6,(ROW(Transactions!$C$6:$C$5000)-ROW(Transactions!$C$6)+1)/(Transactions!$C$6:$C$5000=$B$3),ROWS($A$9:A11))))</f>
        <v/>
      </c>
      <c r="D11" s="7">
        <f>IF($A11="","",INDEX(Transactions!$F$6:$F$5000,AGGREGATE(15,6,(ROW(Transactions!$C$6:$C$5000)-ROW(Transactions!$C$6)+1)/(Transactions!$C$6:$C$5000=$B$3),ROWS($A$9:A11))))</f>
        <v/>
      </c>
      <c r="E11" s="7">
        <f>IF($A11="","",INDEX(Transactions!$G$6:$G$5000,AGGREGATE(15,6,(ROW(Transactions!$C$6:$C$5000)-ROW(Transactions!$C$6)+1)/(Transactions!$C$6:$C$5000=$B$3),ROWS($A$9:A11))))</f>
        <v/>
      </c>
      <c r="F11" s="7">
        <f>IF($A11="","",$B$5+SUM($D$9:D11)-SUM($E$9:E11))</f>
        <v/>
      </c>
      <c r="G11">
        <f>IF($A11="","",INDEX(Transactions!$H$6:$H$5000,AGGREGATE(15,6,(ROW(Transactions!$C$6:$C$5000)-ROW(Transactions!$C$6)+1)/(Transactions!$C$6:$C$5000=$B$3),ROWS($A$9:A11))))</f>
        <v/>
      </c>
      <c r="H11">
        <f>IF($A11="","",TEXT($A11,"mmm-yyyy"))</f>
        <v/>
      </c>
      <c r="I11">
        <f>IF($A11="","",$B$3)</f>
        <v/>
      </c>
    </row>
    <row r="12">
      <c r="A12" s="16">
        <f>IFERROR(INDEX(Transactions!$A$6:$A$5000,AGGREGATE(15,6,(ROW(Transactions!$C$6:$C$5000)-ROW(Transactions!$C$6)+1)/(Transactions!$C$6:$C$5000=$B$3),ROWS($A$9:A12))),"")</f>
        <v/>
      </c>
      <c r="B12">
        <f>IF($A12="","",INDEX(Transactions!$B$6:$B$5000,AGGREGATE(15,6,(ROW(Transactions!$C$6:$C$5000)-ROW(Transactions!$C$6)+1)/(Transactions!$C$6:$C$5000=$B$3),ROWS($A$9:A12))))</f>
        <v/>
      </c>
      <c r="C12">
        <f>IF($A12="","",INDEX(Transactions!$E$6:$E$5000,AGGREGATE(15,6,(ROW(Transactions!$C$6:$C$5000)-ROW(Transactions!$C$6)+1)/(Transactions!$C$6:$C$5000=$B$3),ROWS($A$9:A12))))</f>
        <v/>
      </c>
      <c r="D12" s="7">
        <f>IF($A12="","",INDEX(Transactions!$F$6:$F$5000,AGGREGATE(15,6,(ROW(Transactions!$C$6:$C$5000)-ROW(Transactions!$C$6)+1)/(Transactions!$C$6:$C$5000=$B$3),ROWS($A$9:A12))))</f>
        <v/>
      </c>
      <c r="E12" s="7">
        <f>IF($A12="","",INDEX(Transactions!$G$6:$G$5000,AGGREGATE(15,6,(ROW(Transactions!$C$6:$C$5000)-ROW(Transactions!$C$6)+1)/(Transactions!$C$6:$C$5000=$B$3),ROWS($A$9:A12))))</f>
        <v/>
      </c>
      <c r="F12" s="7">
        <f>IF($A12="","",$B$5+SUM($D$9:D12)-SUM($E$9:E12))</f>
        <v/>
      </c>
      <c r="G12">
        <f>IF($A12="","",INDEX(Transactions!$H$6:$H$5000,AGGREGATE(15,6,(ROW(Transactions!$C$6:$C$5000)-ROW(Transactions!$C$6)+1)/(Transactions!$C$6:$C$5000=$B$3),ROWS($A$9:A12))))</f>
        <v/>
      </c>
      <c r="H12">
        <f>IF($A12="","",TEXT($A12,"mmm-yyyy"))</f>
        <v/>
      </c>
      <c r="I12">
        <f>IF($A12="","",$B$3)</f>
        <v/>
      </c>
    </row>
    <row r="13">
      <c r="A13" s="16">
        <f>IFERROR(INDEX(Transactions!$A$6:$A$5000,AGGREGATE(15,6,(ROW(Transactions!$C$6:$C$5000)-ROW(Transactions!$C$6)+1)/(Transactions!$C$6:$C$5000=$B$3),ROWS($A$9:A13))),"")</f>
        <v/>
      </c>
      <c r="B13">
        <f>IF($A13="","",INDEX(Transactions!$B$6:$B$5000,AGGREGATE(15,6,(ROW(Transactions!$C$6:$C$5000)-ROW(Transactions!$C$6)+1)/(Transactions!$C$6:$C$5000=$B$3),ROWS($A$9:A13))))</f>
        <v/>
      </c>
      <c r="C13">
        <f>IF($A13="","",INDEX(Transactions!$E$6:$E$5000,AGGREGATE(15,6,(ROW(Transactions!$C$6:$C$5000)-ROW(Transactions!$C$6)+1)/(Transactions!$C$6:$C$5000=$B$3),ROWS($A$9:A13))))</f>
        <v/>
      </c>
      <c r="D13" s="7">
        <f>IF($A13="","",INDEX(Transactions!$F$6:$F$5000,AGGREGATE(15,6,(ROW(Transactions!$C$6:$C$5000)-ROW(Transactions!$C$6)+1)/(Transactions!$C$6:$C$5000=$B$3),ROWS($A$9:A13))))</f>
        <v/>
      </c>
      <c r="E13" s="7">
        <f>IF($A13="","",INDEX(Transactions!$G$6:$G$5000,AGGREGATE(15,6,(ROW(Transactions!$C$6:$C$5000)-ROW(Transactions!$C$6)+1)/(Transactions!$C$6:$C$5000=$B$3),ROWS($A$9:A13))))</f>
        <v/>
      </c>
      <c r="F13" s="7">
        <f>IF($A13="","",$B$5+SUM($D$9:D13)-SUM($E$9:E13))</f>
        <v/>
      </c>
      <c r="G13">
        <f>IF($A13="","",INDEX(Transactions!$H$6:$H$5000,AGGREGATE(15,6,(ROW(Transactions!$C$6:$C$5000)-ROW(Transactions!$C$6)+1)/(Transactions!$C$6:$C$5000=$B$3),ROWS($A$9:A13))))</f>
        <v/>
      </c>
      <c r="H13">
        <f>IF($A13="","",TEXT($A13,"mmm-yyyy"))</f>
        <v/>
      </c>
      <c r="I13">
        <f>IF($A13="","",$B$3)</f>
        <v/>
      </c>
    </row>
    <row r="14">
      <c r="A14" s="16">
        <f>IFERROR(INDEX(Transactions!$A$6:$A$5000,AGGREGATE(15,6,(ROW(Transactions!$C$6:$C$5000)-ROW(Transactions!$C$6)+1)/(Transactions!$C$6:$C$5000=$B$3),ROWS($A$9:A14))),"")</f>
        <v/>
      </c>
      <c r="B14">
        <f>IF($A14="","",INDEX(Transactions!$B$6:$B$5000,AGGREGATE(15,6,(ROW(Transactions!$C$6:$C$5000)-ROW(Transactions!$C$6)+1)/(Transactions!$C$6:$C$5000=$B$3),ROWS($A$9:A14))))</f>
        <v/>
      </c>
      <c r="C14">
        <f>IF($A14="","",INDEX(Transactions!$E$6:$E$5000,AGGREGATE(15,6,(ROW(Transactions!$C$6:$C$5000)-ROW(Transactions!$C$6)+1)/(Transactions!$C$6:$C$5000=$B$3),ROWS($A$9:A14))))</f>
        <v/>
      </c>
      <c r="D14" s="7">
        <f>IF($A14="","",INDEX(Transactions!$F$6:$F$5000,AGGREGATE(15,6,(ROW(Transactions!$C$6:$C$5000)-ROW(Transactions!$C$6)+1)/(Transactions!$C$6:$C$5000=$B$3),ROWS($A$9:A14))))</f>
        <v/>
      </c>
      <c r="E14" s="7">
        <f>IF($A14="","",INDEX(Transactions!$G$6:$G$5000,AGGREGATE(15,6,(ROW(Transactions!$C$6:$C$5000)-ROW(Transactions!$C$6)+1)/(Transactions!$C$6:$C$5000=$B$3),ROWS($A$9:A14))))</f>
        <v/>
      </c>
      <c r="F14" s="7">
        <f>IF($A14="","",$B$5+SUM($D$9:D14)-SUM($E$9:E14))</f>
        <v/>
      </c>
      <c r="G14">
        <f>IF($A14="","",INDEX(Transactions!$H$6:$H$5000,AGGREGATE(15,6,(ROW(Transactions!$C$6:$C$5000)-ROW(Transactions!$C$6)+1)/(Transactions!$C$6:$C$5000=$B$3),ROWS($A$9:A14))))</f>
        <v/>
      </c>
      <c r="H14">
        <f>IF($A14="","",TEXT($A14,"mmm-yyyy"))</f>
        <v/>
      </c>
      <c r="I14">
        <f>IF($A14="","",$B$3)</f>
        <v/>
      </c>
    </row>
    <row r="15">
      <c r="A15" s="16">
        <f>IFERROR(INDEX(Transactions!$A$6:$A$5000,AGGREGATE(15,6,(ROW(Transactions!$C$6:$C$5000)-ROW(Transactions!$C$6)+1)/(Transactions!$C$6:$C$5000=$B$3),ROWS($A$9:A15))),"")</f>
        <v/>
      </c>
      <c r="B15">
        <f>IF($A15="","",INDEX(Transactions!$B$6:$B$5000,AGGREGATE(15,6,(ROW(Transactions!$C$6:$C$5000)-ROW(Transactions!$C$6)+1)/(Transactions!$C$6:$C$5000=$B$3),ROWS($A$9:A15))))</f>
        <v/>
      </c>
      <c r="C15">
        <f>IF($A15="","",INDEX(Transactions!$E$6:$E$5000,AGGREGATE(15,6,(ROW(Transactions!$C$6:$C$5000)-ROW(Transactions!$C$6)+1)/(Transactions!$C$6:$C$5000=$B$3),ROWS($A$9:A15))))</f>
        <v/>
      </c>
      <c r="D15" s="7">
        <f>IF($A15="","",INDEX(Transactions!$F$6:$F$5000,AGGREGATE(15,6,(ROW(Transactions!$C$6:$C$5000)-ROW(Transactions!$C$6)+1)/(Transactions!$C$6:$C$5000=$B$3),ROWS($A$9:A15))))</f>
        <v/>
      </c>
      <c r="E15" s="7">
        <f>IF($A15="","",INDEX(Transactions!$G$6:$G$5000,AGGREGATE(15,6,(ROW(Transactions!$C$6:$C$5000)-ROW(Transactions!$C$6)+1)/(Transactions!$C$6:$C$5000=$B$3),ROWS($A$9:A15))))</f>
        <v/>
      </c>
      <c r="F15" s="7">
        <f>IF($A15="","",$B$5+SUM($D$9:D15)-SUM($E$9:E15))</f>
        <v/>
      </c>
      <c r="G15">
        <f>IF($A15="","",INDEX(Transactions!$H$6:$H$5000,AGGREGATE(15,6,(ROW(Transactions!$C$6:$C$5000)-ROW(Transactions!$C$6)+1)/(Transactions!$C$6:$C$5000=$B$3),ROWS($A$9:A15))))</f>
        <v/>
      </c>
      <c r="H15">
        <f>IF($A15="","",TEXT($A15,"mmm-yyyy"))</f>
        <v/>
      </c>
      <c r="I15">
        <f>IF($A15="","",$B$3)</f>
        <v/>
      </c>
    </row>
    <row r="16">
      <c r="A16" s="16">
        <f>IFERROR(INDEX(Transactions!$A$6:$A$5000,AGGREGATE(15,6,(ROW(Transactions!$C$6:$C$5000)-ROW(Transactions!$C$6)+1)/(Transactions!$C$6:$C$5000=$B$3),ROWS($A$9:A16))),"")</f>
        <v/>
      </c>
      <c r="B16">
        <f>IF($A16="","",INDEX(Transactions!$B$6:$B$5000,AGGREGATE(15,6,(ROW(Transactions!$C$6:$C$5000)-ROW(Transactions!$C$6)+1)/(Transactions!$C$6:$C$5000=$B$3),ROWS($A$9:A16))))</f>
        <v/>
      </c>
      <c r="C16">
        <f>IF($A16="","",INDEX(Transactions!$E$6:$E$5000,AGGREGATE(15,6,(ROW(Transactions!$C$6:$C$5000)-ROW(Transactions!$C$6)+1)/(Transactions!$C$6:$C$5000=$B$3),ROWS($A$9:A16))))</f>
        <v/>
      </c>
      <c r="D16" s="7">
        <f>IF($A16="","",INDEX(Transactions!$F$6:$F$5000,AGGREGATE(15,6,(ROW(Transactions!$C$6:$C$5000)-ROW(Transactions!$C$6)+1)/(Transactions!$C$6:$C$5000=$B$3),ROWS($A$9:A16))))</f>
        <v/>
      </c>
      <c r="E16" s="7">
        <f>IF($A16="","",INDEX(Transactions!$G$6:$G$5000,AGGREGATE(15,6,(ROW(Transactions!$C$6:$C$5000)-ROW(Transactions!$C$6)+1)/(Transactions!$C$6:$C$5000=$B$3),ROWS($A$9:A16))))</f>
        <v/>
      </c>
      <c r="F16" s="7">
        <f>IF($A16="","",$B$5+SUM($D$9:D16)-SUM($E$9:E16))</f>
        <v/>
      </c>
      <c r="G16">
        <f>IF($A16="","",INDEX(Transactions!$H$6:$H$5000,AGGREGATE(15,6,(ROW(Transactions!$C$6:$C$5000)-ROW(Transactions!$C$6)+1)/(Transactions!$C$6:$C$5000=$B$3),ROWS($A$9:A16))))</f>
        <v/>
      </c>
      <c r="H16">
        <f>IF($A16="","",TEXT($A16,"mmm-yyyy"))</f>
        <v/>
      </c>
      <c r="I16">
        <f>IF($A16="","",$B$3)</f>
        <v/>
      </c>
    </row>
    <row r="17">
      <c r="A17" s="16">
        <f>IFERROR(INDEX(Transactions!$A$6:$A$5000,AGGREGATE(15,6,(ROW(Transactions!$C$6:$C$5000)-ROW(Transactions!$C$6)+1)/(Transactions!$C$6:$C$5000=$B$3),ROWS($A$9:A17))),"")</f>
        <v/>
      </c>
      <c r="B17">
        <f>IF($A17="","",INDEX(Transactions!$B$6:$B$5000,AGGREGATE(15,6,(ROW(Transactions!$C$6:$C$5000)-ROW(Transactions!$C$6)+1)/(Transactions!$C$6:$C$5000=$B$3),ROWS($A$9:A17))))</f>
        <v/>
      </c>
      <c r="C17">
        <f>IF($A17="","",INDEX(Transactions!$E$6:$E$5000,AGGREGATE(15,6,(ROW(Transactions!$C$6:$C$5000)-ROW(Transactions!$C$6)+1)/(Transactions!$C$6:$C$5000=$B$3),ROWS($A$9:A17))))</f>
        <v/>
      </c>
      <c r="D17" s="7">
        <f>IF($A17="","",INDEX(Transactions!$F$6:$F$5000,AGGREGATE(15,6,(ROW(Transactions!$C$6:$C$5000)-ROW(Transactions!$C$6)+1)/(Transactions!$C$6:$C$5000=$B$3),ROWS($A$9:A17))))</f>
        <v/>
      </c>
      <c r="E17" s="7">
        <f>IF($A17="","",INDEX(Transactions!$G$6:$G$5000,AGGREGATE(15,6,(ROW(Transactions!$C$6:$C$5000)-ROW(Transactions!$C$6)+1)/(Transactions!$C$6:$C$5000=$B$3),ROWS($A$9:A17))))</f>
        <v/>
      </c>
      <c r="F17" s="7">
        <f>IF($A17="","",$B$5+SUM($D$9:D17)-SUM($E$9:E17))</f>
        <v/>
      </c>
      <c r="G17">
        <f>IF($A17="","",INDEX(Transactions!$H$6:$H$5000,AGGREGATE(15,6,(ROW(Transactions!$C$6:$C$5000)-ROW(Transactions!$C$6)+1)/(Transactions!$C$6:$C$5000=$B$3),ROWS($A$9:A17))))</f>
        <v/>
      </c>
      <c r="H17">
        <f>IF($A17="","",TEXT($A17,"mmm-yyyy"))</f>
        <v/>
      </c>
      <c r="I17">
        <f>IF($A17="","",$B$3)</f>
        <v/>
      </c>
    </row>
    <row r="18">
      <c r="A18" s="16">
        <f>IFERROR(INDEX(Transactions!$A$6:$A$5000,AGGREGATE(15,6,(ROW(Transactions!$C$6:$C$5000)-ROW(Transactions!$C$6)+1)/(Transactions!$C$6:$C$5000=$B$3),ROWS($A$9:A18))),"")</f>
        <v/>
      </c>
      <c r="B18">
        <f>IF($A18="","",INDEX(Transactions!$B$6:$B$5000,AGGREGATE(15,6,(ROW(Transactions!$C$6:$C$5000)-ROW(Transactions!$C$6)+1)/(Transactions!$C$6:$C$5000=$B$3),ROWS($A$9:A18))))</f>
        <v/>
      </c>
      <c r="C18">
        <f>IF($A18="","",INDEX(Transactions!$E$6:$E$5000,AGGREGATE(15,6,(ROW(Transactions!$C$6:$C$5000)-ROW(Transactions!$C$6)+1)/(Transactions!$C$6:$C$5000=$B$3),ROWS($A$9:A18))))</f>
        <v/>
      </c>
      <c r="D18" s="7">
        <f>IF($A18="","",INDEX(Transactions!$F$6:$F$5000,AGGREGATE(15,6,(ROW(Transactions!$C$6:$C$5000)-ROW(Transactions!$C$6)+1)/(Transactions!$C$6:$C$5000=$B$3),ROWS($A$9:A18))))</f>
        <v/>
      </c>
      <c r="E18" s="7">
        <f>IF($A18="","",INDEX(Transactions!$G$6:$G$5000,AGGREGATE(15,6,(ROW(Transactions!$C$6:$C$5000)-ROW(Transactions!$C$6)+1)/(Transactions!$C$6:$C$5000=$B$3),ROWS($A$9:A18))))</f>
        <v/>
      </c>
      <c r="F18" s="7">
        <f>IF($A18="","",$B$5+SUM($D$9:D18)-SUM($E$9:E18))</f>
        <v/>
      </c>
      <c r="G18">
        <f>IF($A18="","",INDEX(Transactions!$H$6:$H$5000,AGGREGATE(15,6,(ROW(Transactions!$C$6:$C$5000)-ROW(Transactions!$C$6)+1)/(Transactions!$C$6:$C$5000=$B$3),ROWS($A$9:A18))))</f>
        <v/>
      </c>
      <c r="H18">
        <f>IF($A18="","",TEXT($A18,"mmm-yyyy"))</f>
        <v/>
      </c>
      <c r="I18">
        <f>IF($A18="","",$B$3)</f>
        <v/>
      </c>
    </row>
    <row r="19">
      <c r="A19" s="16">
        <f>IFERROR(INDEX(Transactions!$A$6:$A$5000,AGGREGATE(15,6,(ROW(Transactions!$C$6:$C$5000)-ROW(Transactions!$C$6)+1)/(Transactions!$C$6:$C$5000=$B$3),ROWS($A$9:A19))),"")</f>
        <v/>
      </c>
      <c r="B19">
        <f>IF($A19="","",INDEX(Transactions!$B$6:$B$5000,AGGREGATE(15,6,(ROW(Transactions!$C$6:$C$5000)-ROW(Transactions!$C$6)+1)/(Transactions!$C$6:$C$5000=$B$3),ROWS($A$9:A19))))</f>
        <v/>
      </c>
      <c r="C19">
        <f>IF($A19="","",INDEX(Transactions!$E$6:$E$5000,AGGREGATE(15,6,(ROW(Transactions!$C$6:$C$5000)-ROW(Transactions!$C$6)+1)/(Transactions!$C$6:$C$5000=$B$3),ROWS($A$9:A19))))</f>
        <v/>
      </c>
      <c r="D19" s="7">
        <f>IF($A19="","",INDEX(Transactions!$F$6:$F$5000,AGGREGATE(15,6,(ROW(Transactions!$C$6:$C$5000)-ROW(Transactions!$C$6)+1)/(Transactions!$C$6:$C$5000=$B$3),ROWS($A$9:A19))))</f>
        <v/>
      </c>
      <c r="E19" s="7">
        <f>IF($A19="","",INDEX(Transactions!$G$6:$G$5000,AGGREGATE(15,6,(ROW(Transactions!$C$6:$C$5000)-ROW(Transactions!$C$6)+1)/(Transactions!$C$6:$C$5000=$B$3),ROWS($A$9:A19))))</f>
        <v/>
      </c>
      <c r="F19" s="7">
        <f>IF($A19="","",$B$5+SUM($D$9:D19)-SUM($E$9:E19))</f>
        <v/>
      </c>
      <c r="G19">
        <f>IF($A19="","",INDEX(Transactions!$H$6:$H$5000,AGGREGATE(15,6,(ROW(Transactions!$C$6:$C$5000)-ROW(Transactions!$C$6)+1)/(Transactions!$C$6:$C$5000=$B$3),ROWS($A$9:A19))))</f>
        <v/>
      </c>
      <c r="H19">
        <f>IF($A19="","",TEXT($A19,"mmm-yyyy"))</f>
        <v/>
      </c>
      <c r="I19">
        <f>IF($A19="","",$B$3)</f>
        <v/>
      </c>
    </row>
    <row r="20">
      <c r="A20" s="16">
        <f>IFERROR(INDEX(Transactions!$A$6:$A$5000,AGGREGATE(15,6,(ROW(Transactions!$C$6:$C$5000)-ROW(Transactions!$C$6)+1)/(Transactions!$C$6:$C$5000=$B$3),ROWS($A$9:A20))),"")</f>
        <v/>
      </c>
      <c r="B20">
        <f>IF($A20="","",INDEX(Transactions!$B$6:$B$5000,AGGREGATE(15,6,(ROW(Transactions!$C$6:$C$5000)-ROW(Transactions!$C$6)+1)/(Transactions!$C$6:$C$5000=$B$3),ROWS($A$9:A20))))</f>
        <v/>
      </c>
      <c r="C20">
        <f>IF($A20="","",INDEX(Transactions!$E$6:$E$5000,AGGREGATE(15,6,(ROW(Transactions!$C$6:$C$5000)-ROW(Transactions!$C$6)+1)/(Transactions!$C$6:$C$5000=$B$3),ROWS($A$9:A20))))</f>
        <v/>
      </c>
      <c r="D20" s="7">
        <f>IF($A20="","",INDEX(Transactions!$F$6:$F$5000,AGGREGATE(15,6,(ROW(Transactions!$C$6:$C$5000)-ROW(Transactions!$C$6)+1)/(Transactions!$C$6:$C$5000=$B$3),ROWS($A$9:A20))))</f>
        <v/>
      </c>
      <c r="E20" s="7">
        <f>IF($A20="","",INDEX(Transactions!$G$6:$G$5000,AGGREGATE(15,6,(ROW(Transactions!$C$6:$C$5000)-ROW(Transactions!$C$6)+1)/(Transactions!$C$6:$C$5000=$B$3),ROWS($A$9:A20))))</f>
        <v/>
      </c>
      <c r="F20" s="7">
        <f>IF($A20="","",$B$5+SUM($D$9:D20)-SUM($E$9:E20))</f>
        <v/>
      </c>
      <c r="G20">
        <f>IF($A20="","",INDEX(Transactions!$H$6:$H$5000,AGGREGATE(15,6,(ROW(Transactions!$C$6:$C$5000)-ROW(Transactions!$C$6)+1)/(Transactions!$C$6:$C$5000=$B$3),ROWS($A$9:A20))))</f>
        <v/>
      </c>
      <c r="H20">
        <f>IF($A20="","",TEXT($A20,"mmm-yyyy"))</f>
        <v/>
      </c>
      <c r="I20">
        <f>IF($A20="","",$B$3)</f>
        <v/>
      </c>
    </row>
    <row r="21">
      <c r="A21" s="16">
        <f>IFERROR(INDEX(Transactions!$A$6:$A$5000,AGGREGATE(15,6,(ROW(Transactions!$C$6:$C$5000)-ROW(Transactions!$C$6)+1)/(Transactions!$C$6:$C$5000=$B$3),ROWS($A$9:A21))),"")</f>
        <v/>
      </c>
      <c r="B21">
        <f>IF($A21="","",INDEX(Transactions!$B$6:$B$5000,AGGREGATE(15,6,(ROW(Transactions!$C$6:$C$5000)-ROW(Transactions!$C$6)+1)/(Transactions!$C$6:$C$5000=$B$3),ROWS($A$9:A21))))</f>
        <v/>
      </c>
      <c r="C21">
        <f>IF($A21="","",INDEX(Transactions!$E$6:$E$5000,AGGREGATE(15,6,(ROW(Transactions!$C$6:$C$5000)-ROW(Transactions!$C$6)+1)/(Transactions!$C$6:$C$5000=$B$3),ROWS($A$9:A21))))</f>
        <v/>
      </c>
      <c r="D21" s="7">
        <f>IF($A21="","",INDEX(Transactions!$F$6:$F$5000,AGGREGATE(15,6,(ROW(Transactions!$C$6:$C$5000)-ROW(Transactions!$C$6)+1)/(Transactions!$C$6:$C$5000=$B$3),ROWS($A$9:A21))))</f>
        <v/>
      </c>
      <c r="E21" s="7">
        <f>IF($A21="","",INDEX(Transactions!$G$6:$G$5000,AGGREGATE(15,6,(ROW(Transactions!$C$6:$C$5000)-ROW(Transactions!$C$6)+1)/(Transactions!$C$6:$C$5000=$B$3),ROWS($A$9:A21))))</f>
        <v/>
      </c>
      <c r="F21" s="7">
        <f>IF($A21="","",$B$5+SUM($D$9:D21)-SUM($E$9:E21))</f>
        <v/>
      </c>
      <c r="G21">
        <f>IF($A21="","",INDEX(Transactions!$H$6:$H$5000,AGGREGATE(15,6,(ROW(Transactions!$C$6:$C$5000)-ROW(Transactions!$C$6)+1)/(Transactions!$C$6:$C$5000=$B$3),ROWS($A$9:A21))))</f>
        <v/>
      </c>
      <c r="H21">
        <f>IF($A21="","",TEXT($A21,"mmm-yyyy"))</f>
        <v/>
      </c>
      <c r="I21">
        <f>IF($A21="","",$B$3)</f>
        <v/>
      </c>
    </row>
    <row r="22">
      <c r="A22" s="16">
        <f>IFERROR(INDEX(Transactions!$A$6:$A$5000,AGGREGATE(15,6,(ROW(Transactions!$C$6:$C$5000)-ROW(Transactions!$C$6)+1)/(Transactions!$C$6:$C$5000=$B$3),ROWS($A$9:A22))),"")</f>
        <v/>
      </c>
      <c r="B22">
        <f>IF($A22="","",INDEX(Transactions!$B$6:$B$5000,AGGREGATE(15,6,(ROW(Transactions!$C$6:$C$5000)-ROW(Transactions!$C$6)+1)/(Transactions!$C$6:$C$5000=$B$3),ROWS($A$9:A22))))</f>
        <v/>
      </c>
      <c r="C22">
        <f>IF($A22="","",INDEX(Transactions!$E$6:$E$5000,AGGREGATE(15,6,(ROW(Transactions!$C$6:$C$5000)-ROW(Transactions!$C$6)+1)/(Transactions!$C$6:$C$5000=$B$3),ROWS($A$9:A22))))</f>
        <v/>
      </c>
      <c r="D22" s="7">
        <f>IF($A22="","",INDEX(Transactions!$F$6:$F$5000,AGGREGATE(15,6,(ROW(Transactions!$C$6:$C$5000)-ROW(Transactions!$C$6)+1)/(Transactions!$C$6:$C$5000=$B$3),ROWS($A$9:A22))))</f>
        <v/>
      </c>
      <c r="E22" s="7">
        <f>IF($A22="","",INDEX(Transactions!$G$6:$G$5000,AGGREGATE(15,6,(ROW(Transactions!$C$6:$C$5000)-ROW(Transactions!$C$6)+1)/(Transactions!$C$6:$C$5000=$B$3),ROWS($A$9:A22))))</f>
        <v/>
      </c>
      <c r="F22" s="7">
        <f>IF($A22="","",$B$5+SUM($D$9:D22)-SUM($E$9:E22))</f>
        <v/>
      </c>
      <c r="G22">
        <f>IF($A22="","",INDEX(Transactions!$H$6:$H$5000,AGGREGATE(15,6,(ROW(Transactions!$C$6:$C$5000)-ROW(Transactions!$C$6)+1)/(Transactions!$C$6:$C$5000=$B$3),ROWS($A$9:A22))))</f>
        <v/>
      </c>
      <c r="H22">
        <f>IF($A22="","",TEXT($A22,"mmm-yyyy"))</f>
        <v/>
      </c>
      <c r="I22">
        <f>IF($A22="","",$B$3)</f>
        <v/>
      </c>
    </row>
    <row r="23">
      <c r="A23" s="16">
        <f>IFERROR(INDEX(Transactions!$A$6:$A$5000,AGGREGATE(15,6,(ROW(Transactions!$C$6:$C$5000)-ROW(Transactions!$C$6)+1)/(Transactions!$C$6:$C$5000=$B$3),ROWS($A$9:A23))),"")</f>
        <v/>
      </c>
      <c r="B23">
        <f>IF($A23="","",INDEX(Transactions!$B$6:$B$5000,AGGREGATE(15,6,(ROW(Transactions!$C$6:$C$5000)-ROW(Transactions!$C$6)+1)/(Transactions!$C$6:$C$5000=$B$3),ROWS($A$9:A23))))</f>
        <v/>
      </c>
      <c r="C23">
        <f>IF($A23="","",INDEX(Transactions!$E$6:$E$5000,AGGREGATE(15,6,(ROW(Transactions!$C$6:$C$5000)-ROW(Transactions!$C$6)+1)/(Transactions!$C$6:$C$5000=$B$3),ROWS($A$9:A23))))</f>
        <v/>
      </c>
      <c r="D23" s="7">
        <f>IF($A23="","",INDEX(Transactions!$F$6:$F$5000,AGGREGATE(15,6,(ROW(Transactions!$C$6:$C$5000)-ROW(Transactions!$C$6)+1)/(Transactions!$C$6:$C$5000=$B$3),ROWS($A$9:A23))))</f>
        <v/>
      </c>
      <c r="E23" s="7">
        <f>IF($A23="","",INDEX(Transactions!$G$6:$G$5000,AGGREGATE(15,6,(ROW(Transactions!$C$6:$C$5000)-ROW(Transactions!$C$6)+1)/(Transactions!$C$6:$C$5000=$B$3),ROWS($A$9:A23))))</f>
        <v/>
      </c>
      <c r="F23" s="7">
        <f>IF($A23="","",$B$5+SUM($D$9:D23)-SUM($E$9:E23))</f>
        <v/>
      </c>
      <c r="G23">
        <f>IF($A23="","",INDEX(Transactions!$H$6:$H$5000,AGGREGATE(15,6,(ROW(Transactions!$C$6:$C$5000)-ROW(Transactions!$C$6)+1)/(Transactions!$C$6:$C$5000=$B$3),ROWS($A$9:A23))))</f>
        <v/>
      </c>
      <c r="H23">
        <f>IF($A23="","",TEXT($A23,"mmm-yyyy"))</f>
        <v/>
      </c>
      <c r="I23">
        <f>IF($A23="","",$B$3)</f>
        <v/>
      </c>
    </row>
    <row r="24">
      <c r="A24" s="16">
        <f>IFERROR(INDEX(Transactions!$A$6:$A$5000,AGGREGATE(15,6,(ROW(Transactions!$C$6:$C$5000)-ROW(Transactions!$C$6)+1)/(Transactions!$C$6:$C$5000=$B$3),ROWS($A$9:A24))),"")</f>
        <v/>
      </c>
      <c r="B24">
        <f>IF($A24="","",INDEX(Transactions!$B$6:$B$5000,AGGREGATE(15,6,(ROW(Transactions!$C$6:$C$5000)-ROW(Transactions!$C$6)+1)/(Transactions!$C$6:$C$5000=$B$3),ROWS($A$9:A24))))</f>
        <v/>
      </c>
      <c r="C24">
        <f>IF($A24="","",INDEX(Transactions!$E$6:$E$5000,AGGREGATE(15,6,(ROW(Transactions!$C$6:$C$5000)-ROW(Transactions!$C$6)+1)/(Transactions!$C$6:$C$5000=$B$3),ROWS($A$9:A24))))</f>
        <v/>
      </c>
      <c r="D24" s="7">
        <f>IF($A24="","",INDEX(Transactions!$F$6:$F$5000,AGGREGATE(15,6,(ROW(Transactions!$C$6:$C$5000)-ROW(Transactions!$C$6)+1)/(Transactions!$C$6:$C$5000=$B$3),ROWS($A$9:A24))))</f>
        <v/>
      </c>
      <c r="E24" s="7">
        <f>IF($A24="","",INDEX(Transactions!$G$6:$G$5000,AGGREGATE(15,6,(ROW(Transactions!$C$6:$C$5000)-ROW(Transactions!$C$6)+1)/(Transactions!$C$6:$C$5000=$B$3),ROWS($A$9:A24))))</f>
        <v/>
      </c>
      <c r="F24" s="7">
        <f>IF($A24="","",$B$5+SUM($D$9:D24)-SUM($E$9:E24))</f>
        <v/>
      </c>
      <c r="G24">
        <f>IF($A24="","",INDEX(Transactions!$H$6:$H$5000,AGGREGATE(15,6,(ROW(Transactions!$C$6:$C$5000)-ROW(Transactions!$C$6)+1)/(Transactions!$C$6:$C$5000=$B$3),ROWS($A$9:A24))))</f>
        <v/>
      </c>
      <c r="H24">
        <f>IF($A24="","",TEXT($A24,"mmm-yyyy"))</f>
        <v/>
      </c>
      <c r="I24">
        <f>IF($A24="","",$B$3)</f>
        <v/>
      </c>
    </row>
    <row r="25">
      <c r="A25" s="16">
        <f>IFERROR(INDEX(Transactions!$A$6:$A$5000,AGGREGATE(15,6,(ROW(Transactions!$C$6:$C$5000)-ROW(Transactions!$C$6)+1)/(Transactions!$C$6:$C$5000=$B$3),ROWS($A$9:A25))),"")</f>
        <v/>
      </c>
      <c r="B25">
        <f>IF($A25="","",INDEX(Transactions!$B$6:$B$5000,AGGREGATE(15,6,(ROW(Transactions!$C$6:$C$5000)-ROW(Transactions!$C$6)+1)/(Transactions!$C$6:$C$5000=$B$3),ROWS($A$9:A25))))</f>
        <v/>
      </c>
      <c r="C25">
        <f>IF($A25="","",INDEX(Transactions!$E$6:$E$5000,AGGREGATE(15,6,(ROW(Transactions!$C$6:$C$5000)-ROW(Transactions!$C$6)+1)/(Transactions!$C$6:$C$5000=$B$3),ROWS($A$9:A25))))</f>
        <v/>
      </c>
      <c r="D25" s="7">
        <f>IF($A25="","",INDEX(Transactions!$F$6:$F$5000,AGGREGATE(15,6,(ROW(Transactions!$C$6:$C$5000)-ROW(Transactions!$C$6)+1)/(Transactions!$C$6:$C$5000=$B$3),ROWS($A$9:A25))))</f>
        <v/>
      </c>
      <c r="E25" s="7">
        <f>IF($A25="","",INDEX(Transactions!$G$6:$G$5000,AGGREGATE(15,6,(ROW(Transactions!$C$6:$C$5000)-ROW(Transactions!$C$6)+1)/(Transactions!$C$6:$C$5000=$B$3),ROWS($A$9:A25))))</f>
        <v/>
      </c>
      <c r="F25" s="7">
        <f>IF($A25="","",$B$5+SUM($D$9:D25)-SUM($E$9:E25))</f>
        <v/>
      </c>
      <c r="G25">
        <f>IF($A25="","",INDEX(Transactions!$H$6:$H$5000,AGGREGATE(15,6,(ROW(Transactions!$C$6:$C$5000)-ROW(Transactions!$C$6)+1)/(Transactions!$C$6:$C$5000=$B$3),ROWS($A$9:A25))))</f>
        <v/>
      </c>
      <c r="H25">
        <f>IF($A25="","",TEXT($A25,"mmm-yyyy"))</f>
        <v/>
      </c>
      <c r="I25">
        <f>IF($A25="","",$B$3)</f>
        <v/>
      </c>
    </row>
    <row r="26">
      <c r="A26" s="16">
        <f>IFERROR(INDEX(Transactions!$A$6:$A$5000,AGGREGATE(15,6,(ROW(Transactions!$C$6:$C$5000)-ROW(Transactions!$C$6)+1)/(Transactions!$C$6:$C$5000=$B$3),ROWS($A$9:A26))),"")</f>
        <v/>
      </c>
      <c r="B26">
        <f>IF($A26="","",INDEX(Transactions!$B$6:$B$5000,AGGREGATE(15,6,(ROW(Transactions!$C$6:$C$5000)-ROW(Transactions!$C$6)+1)/(Transactions!$C$6:$C$5000=$B$3),ROWS($A$9:A26))))</f>
        <v/>
      </c>
      <c r="C26">
        <f>IF($A26="","",INDEX(Transactions!$E$6:$E$5000,AGGREGATE(15,6,(ROW(Transactions!$C$6:$C$5000)-ROW(Transactions!$C$6)+1)/(Transactions!$C$6:$C$5000=$B$3),ROWS($A$9:A26))))</f>
        <v/>
      </c>
      <c r="D26" s="7">
        <f>IF($A26="","",INDEX(Transactions!$F$6:$F$5000,AGGREGATE(15,6,(ROW(Transactions!$C$6:$C$5000)-ROW(Transactions!$C$6)+1)/(Transactions!$C$6:$C$5000=$B$3),ROWS($A$9:A26))))</f>
        <v/>
      </c>
      <c r="E26" s="7">
        <f>IF($A26="","",INDEX(Transactions!$G$6:$G$5000,AGGREGATE(15,6,(ROW(Transactions!$C$6:$C$5000)-ROW(Transactions!$C$6)+1)/(Transactions!$C$6:$C$5000=$B$3),ROWS($A$9:A26))))</f>
        <v/>
      </c>
      <c r="F26" s="7">
        <f>IF($A26="","",$B$5+SUM($D$9:D26)-SUM($E$9:E26))</f>
        <v/>
      </c>
      <c r="G26">
        <f>IF($A26="","",INDEX(Transactions!$H$6:$H$5000,AGGREGATE(15,6,(ROW(Transactions!$C$6:$C$5000)-ROW(Transactions!$C$6)+1)/(Transactions!$C$6:$C$5000=$B$3),ROWS($A$9:A26))))</f>
        <v/>
      </c>
      <c r="H26">
        <f>IF($A26="","",TEXT($A26,"mmm-yyyy"))</f>
        <v/>
      </c>
      <c r="I26">
        <f>IF($A26="","",$B$3)</f>
        <v/>
      </c>
    </row>
    <row r="27">
      <c r="A27" s="16">
        <f>IFERROR(INDEX(Transactions!$A$6:$A$5000,AGGREGATE(15,6,(ROW(Transactions!$C$6:$C$5000)-ROW(Transactions!$C$6)+1)/(Transactions!$C$6:$C$5000=$B$3),ROWS($A$9:A27))),"")</f>
        <v/>
      </c>
      <c r="B27">
        <f>IF($A27="","",INDEX(Transactions!$B$6:$B$5000,AGGREGATE(15,6,(ROW(Transactions!$C$6:$C$5000)-ROW(Transactions!$C$6)+1)/(Transactions!$C$6:$C$5000=$B$3),ROWS($A$9:A27))))</f>
        <v/>
      </c>
      <c r="C27">
        <f>IF($A27="","",INDEX(Transactions!$E$6:$E$5000,AGGREGATE(15,6,(ROW(Transactions!$C$6:$C$5000)-ROW(Transactions!$C$6)+1)/(Transactions!$C$6:$C$5000=$B$3),ROWS($A$9:A27))))</f>
        <v/>
      </c>
      <c r="D27" s="7">
        <f>IF($A27="","",INDEX(Transactions!$F$6:$F$5000,AGGREGATE(15,6,(ROW(Transactions!$C$6:$C$5000)-ROW(Transactions!$C$6)+1)/(Transactions!$C$6:$C$5000=$B$3),ROWS($A$9:A27))))</f>
        <v/>
      </c>
      <c r="E27" s="7">
        <f>IF($A27="","",INDEX(Transactions!$G$6:$G$5000,AGGREGATE(15,6,(ROW(Transactions!$C$6:$C$5000)-ROW(Transactions!$C$6)+1)/(Transactions!$C$6:$C$5000=$B$3),ROWS($A$9:A27))))</f>
        <v/>
      </c>
      <c r="F27" s="7">
        <f>IF($A27="","",$B$5+SUM($D$9:D27)-SUM($E$9:E27))</f>
        <v/>
      </c>
      <c r="G27">
        <f>IF($A27="","",INDEX(Transactions!$H$6:$H$5000,AGGREGATE(15,6,(ROW(Transactions!$C$6:$C$5000)-ROW(Transactions!$C$6)+1)/(Transactions!$C$6:$C$5000=$B$3),ROWS($A$9:A27))))</f>
        <v/>
      </c>
      <c r="H27">
        <f>IF($A27="","",TEXT($A27,"mmm-yyyy"))</f>
        <v/>
      </c>
      <c r="I27">
        <f>IF($A27="","",$B$3)</f>
        <v/>
      </c>
    </row>
    <row r="28">
      <c r="A28" s="16">
        <f>IFERROR(INDEX(Transactions!$A$6:$A$5000,AGGREGATE(15,6,(ROW(Transactions!$C$6:$C$5000)-ROW(Transactions!$C$6)+1)/(Transactions!$C$6:$C$5000=$B$3),ROWS($A$9:A28))),"")</f>
        <v/>
      </c>
      <c r="B28">
        <f>IF($A28="","",INDEX(Transactions!$B$6:$B$5000,AGGREGATE(15,6,(ROW(Transactions!$C$6:$C$5000)-ROW(Transactions!$C$6)+1)/(Transactions!$C$6:$C$5000=$B$3),ROWS($A$9:A28))))</f>
        <v/>
      </c>
      <c r="C28">
        <f>IF($A28="","",INDEX(Transactions!$E$6:$E$5000,AGGREGATE(15,6,(ROW(Transactions!$C$6:$C$5000)-ROW(Transactions!$C$6)+1)/(Transactions!$C$6:$C$5000=$B$3),ROWS($A$9:A28))))</f>
        <v/>
      </c>
      <c r="D28" s="7">
        <f>IF($A28="","",INDEX(Transactions!$F$6:$F$5000,AGGREGATE(15,6,(ROW(Transactions!$C$6:$C$5000)-ROW(Transactions!$C$6)+1)/(Transactions!$C$6:$C$5000=$B$3),ROWS($A$9:A28))))</f>
        <v/>
      </c>
      <c r="E28" s="7">
        <f>IF($A28="","",INDEX(Transactions!$G$6:$G$5000,AGGREGATE(15,6,(ROW(Transactions!$C$6:$C$5000)-ROW(Transactions!$C$6)+1)/(Transactions!$C$6:$C$5000=$B$3),ROWS($A$9:A28))))</f>
        <v/>
      </c>
      <c r="F28" s="7">
        <f>IF($A28="","",$B$5+SUM($D$9:D28)-SUM($E$9:E28))</f>
        <v/>
      </c>
      <c r="G28">
        <f>IF($A28="","",INDEX(Transactions!$H$6:$H$5000,AGGREGATE(15,6,(ROW(Transactions!$C$6:$C$5000)-ROW(Transactions!$C$6)+1)/(Transactions!$C$6:$C$5000=$B$3),ROWS($A$9:A28))))</f>
        <v/>
      </c>
      <c r="H28">
        <f>IF($A28="","",TEXT($A28,"mmm-yyyy"))</f>
        <v/>
      </c>
      <c r="I28">
        <f>IF($A28="","",$B$3)</f>
        <v/>
      </c>
    </row>
    <row r="29">
      <c r="A29" s="16">
        <f>IFERROR(INDEX(Transactions!$A$6:$A$5000,AGGREGATE(15,6,(ROW(Transactions!$C$6:$C$5000)-ROW(Transactions!$C$6)+1)/(Transactions!$C$6:$C$5000=$B$3),ROWS($A$9:A29))),"")</f>
        <v/>
      </c>
      <c r="B29">
        <f>IF($A29="","",INDEX(Transactions!$B$6:$B$5000,AGGREGATE(15,6,(ROW(Transactions!$C$6:$C$5000)-ROW(Transactions!$C$6)+1)/(Transactions!$C$6:$C$5000=$B$3),ROWS($A$9:A29))))</f>
        <v/>
      </c>
      <c r="C29">
        <f>IF($A29="","",INDEX(Transactions!$E$6:$E$5000,AGGREGATE(15,6,(ROW(Transactions!$C$6:$C$5000)-ROW(Transactions!$C$6)+1)/(Transactions!$C$6:$C$5000=$B$3),ROWS($A$9:A29))))</f>
        <v/>
      </c>
      <c r="D29" s="7">
        <f>IF($A29="","",INDEX(Transactions!$F$6:$F$5000,AGGREGATE(15,6,(ROW(Transactions!$C$6:$C$5000)-ROW(Transactions!$C$6)+1)/(Transactions!$C$6:$C$5000=$B$3),ROWS($A$9:A29))))</f>
        <v/>
      </c>
      <c r="E29" s="7">
        <f>IF($A29="","",INDEX(Transactions!$G$6:$G$5000,AGGREGATE(15,6,(ROW(Transactions!$C$6:$C$5000)-ROW(Transactions!$C$6)+1)/(Transactions!$C$6:$C$5000=$B$3),ROWS($A$9:A29))))</f>
        <v/>
      </c>
      <c r="F29" s="7">
        <f>IF($A29="","",$B$5+SUM($D$9:D29)-SUM($E$9:E29))</f>
        <v/>
      </c>
      <c r="G29">
        <f>IF($A29="","",INDEX(Transactions!$H$6:$H$5000,AGGREGATE(15,6,(ROW(Transactions!$C$6:$C$5000)-ROW(Transactions!$C$6)+1)/(Transactions!$C$6:$C$5000=$B$3),ROWS($A$9:A29))))</f>
        <v/>
      </c>
      <c r="H29">
        <f>IF($A29="","",TEXT($A29,"mmm-yyyy"))</f>
        <v/>
      </c>
      <c r="I29">
        <f>IF($A29="","",$B$3)</f>
        <v/>
      </c>
    </row>
    <row r="30">
      <c r="A30" s="16">
        <f>IFERROR(INDEX(Transactions!$A$6:$A$5000,AGGREGATE(15,6,(ROW(Transactions!$C$6:$C$5000)-ROW(Transactions!$C$6)+1)/(Transactions!$C$6:$C$5000=$B$3),ROWS($A$9:A30))),"")</f>
        <v/>
      </c>
      <c r="B30">
        <f>IF($A30="","",INDEX(Transactions!$B$6:$B$5000,AGGREGATE(15,6,(ROW(Transactions!$C$6:$C$5000)-ROW(Transactions!$C$6)+1)/(Transactions!$C$6:$C$5000=$B$3),ROWS($A$9:A30))))</f>
        <v/>
      </c>
      <c r="C30">
        <f>IF($A30="","",INDEX(Transactions!$E$6:$E$5000,AGGREGATE(15,6,(ROW(Transactions!$C$6:$C$5000)-ROW(Transactions!$C$6)+1)/(Transactions!$C$6:$C$5000=$B$3),ROWS($A$9:A30))))</f>
        <v/>
      </c>
      <c r="D30" s="7">
        <f>IF($A30="","",INDEX(Transactions!$F$6:$F$5000,AGGREGATE(15,6,(ROW(Transactions!$C$6:$C$5000)-ROW(Transactions!$C$6)+1)/(Transactions!$C$6:$C$5000=$B$3),ROWS($A$9:A30))))</f>
        <v/>
      </c>
      <c r="E30" s="7">
        <f>IF($A30="","",INDEX(Transactions!$G$6:$G$5000,AGGREGATE(15,6,(ROW(Transactions!$C$6:$C$5000)-ROW(Transactions!$C$6)+1)/(Transactions!$C$6:$C$5000=$B$3),ROWS($A$9:A30))))</f>
        <v/>
      </c>
      <c r="F30" s="7">
        <f>IF($A30="","",$B$5+SUM($D$9:D30)-SUM($E$9:E30))</f>
        <v/>
      </c>
      <c r="G30">
        <f>IF($A30="","",INDEX(Transactions!$H$6:$H$5000,AGGREGATE(15,6,(ROW(Transactions!$C$6:$C$5000)-ROW(Transactions!$C$6)+1)/(Transactions!$C$6:$C$5000=$B$3),ROWS($A$9:A30))))</f>
        <v/>
      </c>
      <c r="H30">
        <f>IF($A30="","",TEXT($A30,"mmm-yyyy"))</f>
        <v/>
      </c>
      <c r="I30">
        <f>IF($A30="","",$B$3)</f>
        <v/>
      </c>
    </row>
    <row r="31">
      <c r="A31" s="16">
        <f>IFERROR(INDEX(Transactions!$A$6:$A$5000,AGGREGATE(15,6,(ROW(Transactions!$C$6:$C$5000)-ROW(Transactions!$C$6)+1)/(Transactions!$C$6:$C$5000=$B$3),ROWS($A$9:A31))),"")</f>
        <v/>
      </c>
      <c r="B31">
        <f>IF($A31="","",INDEX(Transactions!$B$6:$B$5000,AGGREGATE(15,6,(ROW(Transactions!$C$6:$C$5000)-ROW(Transactions!$C$6)+1)/(Transactions!$C$6:$C$5000=$B$3),ROWS($A$9:A31))))</f>
        <v/>
      </c>
      <c r="C31">
        <f>IF($A31="","",INDEX(Transactions!$E$6:$E$5000,AGGREGATE(15,6,(ROW(Transactions!$C$6:$C$5000)-ROW(Transactions!$C$6)+1)/(Transactions!$C$6:$C$5000=$B$3),ROWS($A$9:A31))))</f>
        <v/>
      </c>
      <c r="D31" s="7">
        <f>IF($A31="","",INDEX(Transactions!$F$6:$F$5000,AGGREGATE(15,6,(ROW(Transactions!$C$6:$C$5000)-ROW(Transactions!$C$6)+1)/(Transactions!$C$6:$C$5000=$B$3),ROWS($A$9:A31))))</f>
        <v/>
      </c>
      <c r="E31" s="7">
        <f>IF($A31="","",INDEX(Transactions!$G$6:$G$5000,AGGREGATE(15,6,(ROW(Transactions!$C$6:$C$5000)-ROW(Transactions!$C$6)+1)/(Transactions!$C$6:$C$5000=$B$3),ROWS($A$9:A31))))</f>
        <v/>
      </c>
      <c r="F31" s="7">
        <f>IF($A31="","",$B$5+SUM($D$9:D31)-SUM($E$9:E31))</f>
        <v/>
      </c>
      <c r="G31">
        <f>IF($A31="","",INDEX(Transactions!$H$6:$H$5000,AGGREGATE(15,6,(ROW(Transactions!$C$6:$C$5000)-ROW(Transactions!$C$6)+1)/(Transactions!$C$6:$C$5000=$B$3),ROWS($A$9:A31))))</f>
        <v/>
      </c>
      <c r="H31">
        <f>IF($A31="","",TEXT($A31,"mmm-yyyy"))</f>
        <v/>
      </c>
      <c r="I31">
        <f>IF($A31="","",$B$3)</f>
        <v/>
      </c>
    </row>
    <row r="32">
      <c r="A32" s="16">
        <f>IFERROR(INDEX(Transactions!$A$6:$A$5000,AGGREGATE(15,6,(ROW(Transactions!$C$6:$C$5000)-ROW(Transactions!$C$6)+1)/(Transactions!$C$6:$C$5000=$B$3),ROWS($A$9:A32))),"")</f>
        <v/>
      </c>
      <c r="B32">
        <f>IF($A32="","",INDEX(Transactions!$B$6:$B$5000,AGGREGATE(15,6,(ROW(Transactions!$C$6:$C$5000)-ROW(Transactions!$C$6)+1)/(Transactions!$C$6:$C$5000=$B$3),ROWS($A$9:A32))))</f>
        <v/>
      </c>
      <c r="C32">
        <f>IF($A32="","",INDEX(Transactions!$E$6:$E$5000,AGGREGATE(15,6,(ROW(Transactions!$C$6:$C$5000)-ROW(Transactions!$C$6)+1)/(Transactions!$C$6:$C$5000=$B$3),ROWS($A$9:A32))))</f>
        <v/>
      </c>
      <c r="D32" s="7">
        <f>IF($A32="","",INDEX(Transactions!$F$6:$F$5000,AGGREGATE(15,6,(ROW(Transactions!$C$6:$C$5000)-ROW(Transactions!$C$6)+1)/(Transactions!$C$6:$C$5000=$B$3),ROWS($A$9:A32))))</f>
        <v/>
      </c>
      <c r="E32" s="7">
        <f>IF($A32="","",INDEX(Transactions!$G$6:$G$5000,AGGREGATE(15,6,(ROW(Transactions!$C$6:$C$5000)-ROW(Transactions!$C$6)+1)/(Transactions!$C$6:$C$5000=$B$3),ROWS($A$9:A32))))</f>
        <v/>
      </c>
      <c r="F32" s="7">
        <f>IF($A32="","",$B$5+SUM($D$9:D32)-SUM($E$9:E32))</f>
        <v/>
      </c>
      <c r="G32">
        <f>IF($A32="","",INDEX(Transactions!$H$6:$H$5000,AGGREGATE(15,6,(ROW(Transactions!$C$6:$C$5000)-ROW(Transactions!$C$6)+1)/(Transactions!$C$6:$C$5000=$B$3),ROWS($A$9:A32))))</f>
        <v/>
      </c>
      <c r="H32">
        <f>IF($A32="","",TEXT($A32,"mmm-yyyy"))</f>
        <v/>
      </c>
      <c r="I32">
        <f>IF($A32="","",$B$3)</f>
        <v/>
      </c>
    </row>
    <row r="33">
      <c r="A33" s="16">
        <f>IFERROR(INDEX(Transactions!$A$6:$A$5000,AGGREGATE(15,6,(ROW(Transactions!$C$6:$C$5000)-ROW(Transactions!$C$6)+1)/(Transactions!$C$6:$C$5000=$B$3),ROWS($A$9:A33))),"")</f>
        <v/>
      </c>
      <c r="B33">
        <f>IF($A33="","",INDEX(Transactions!$B$6:$B$5000,AGGREGATE(15,6,(ROW(Transactions!$C$6:$C$5000)-ROW(Transactions!$C$6)+1)/(Transactions!$C$6:$C$5000=$B$3),ROWS($A$9:A33))))</f>
        <v/>
      </c>
      <c r="C33">
        <f>IF($A33="","",INDEX(Transactions!$E$6:$E$5000,AGGREGATE(15,6,(ROW(Transactions!$C$6:$C$5000)-ROW(Transactions!$C$6)+1)/(Transactions!$C$6:$C$5000=$B$3),ROWS($A$9:A33))))</f>
        <v/>
      </c>
      <c r="D33" s="7">
        <f>IF($A33="","",INDEX(Transactions!$F$6:$F$5000,AGGREGATE(15,6,(ROW(Transactions!$C$6:$C$5000)-ROW(Transactions!$C$6)+1)/(Transactions!$C$6:$C$5000=$B$3),ROWS($A$9:A33))))</f>
        <v/>
      </c>
      <c r="E33" s="7">
        <f>IF($A33="","",INDEX(Transactions!$G$6:$G$5000,AGGREGATE(15,6,(ROW(Transactions!$C$6:$C$5000)-ROW(Transactions!$C$6)+1)/(Transactions!$C$6:$C$5000=$B$3),ROWS($A$9:A33))))</f>
        <v/>
      </c>
      <c r="F33" s="7">
        <f>IF($A33="","",$B$5+SUM($D$9:D33)-SUM($E$9:E33))</f>
        <v/>
      </c>
      <c r="G33">
        <f>IF($A33="","",INDEX(Transactions!$H$6:$H$5000,AGGREGATE(15,6,(ROW(Transactions!$C$6:$C$5000)-ROW(Transactions!$C$6)+1)/(Transactions!$C$6:$C$5000=$B$3),ROWS($A$9:A33))))</f>
        <v/>
      </c>
      <c r="H33">
        <f>IF($A33="","",TEXT($A33,"mmm-yyyy"))</f>
        <v/>
      </c>
      <c r="I33">
        <f>IF($A33="","",$B$3)</f>
        <v/>
      </c>
    </row>
    <row r="34">
      <c r="A34" s="16">
        <f>IFERROR(INDEX(Transactions!$A$6:$A$5000,AGGREGATE(15,6,(ROW(Transactions!$C$6:$C$5000)-ROW(Transactions!$C$6)+1)/(Transactions!$C$6:$C$5000=$B$3),ROWS($A$9:A34))),"")</f>
        <v/>
      </c>
      <c r="B34">
        <f>IF($A34="","",INDEX(Transactions!$B$6:$B$5000,AGGREGATE(15,6,(ROW(Transactions!$C$6:$C$5000)-ROW(Transactions!$C$6)+1)/(Transactions!$C$6:$C$5000=$B$3),ROWS($A$9:A34))))</f>
        <v/>
      </c>
      <c r="C34">
        <f>IF($A34="","",INDEX(Transactions!$E$6:$E$5000,AGGREGATE(15,6,(ROW(Transactions!$C$6:$C$5000)-ROW(Transactions!$C$6)+1)/(Transactions!$C$6:$C$5000=$B$3),ROWS($A$9:A34))))</f>
        <v/>
      </c>
      <c r="D34" s="7">
        <f>IF($A34="","",INDEX(Transactions!$F$6:$F$5000,AGGREGATE(15,6,(ROW(Transactions!$C$6:$C$5000)-ROW(Transactions!$C$6)+1)/(Transactions!$C$6:$C$5000=$B$3),ROWS($A$9:A34))))</f>
        <v/>
      </c>
      <c r="E34" s="7">
        <f>IF($A34="","",INDEX(Transactions!$G$6:$G$5000,AGGREGATE(15,6,(ROW(Transactions!$C$6:$C$5000)-ROW(Transactions!$C$6)+1)/(Transactions!$C$6:$C$5000=$B$3),ROWS($A$9:A34))))</f>
        <v/>
      </c>
      <c r="F34" s="7">
        <f>IF($A34="","",$B$5+SUM($D$9:D34)-SUM($E$9:E34))</f>
        <v/>
      </c>
      <c r="G34">
        <f>IF($A34="","",INDEX(Transactions!$H$6:$H$5000,AGGREGATE(15,6,(ROW(Transactions!$C$6:$C$5000)-ROW(Transactions!$C$6)+1)/(Transactions!$C$6:$C$5000=$B$3),ROWS($A$9:A34))))</f>
        <v/>
      </c>
      <c r="H34">
        <f>IF($A34="","",TEXT($A34,"mmm-yyyy"))</f>
        <v/>
      </c>
      <c r="I34">
        <f>IF($A34="","",$B$3)</f>
        <v/>
      </c>
    </row>
    <row r="35">
      <c r="A35" s="16">
        <f>IFERROR(INDEX(Transactions!$A$6:$A$5000,AGGREGATE(15,6,(ROW(Transactions!$C$6:$C$5000)-ROW(Transactions!$C$6)+1)/(Transactions!$C$6:$C$5000=$B$3),ROWS($A$9:A35))),"")</f>
        <v/>
      </c>
      <c r="B35">
        <f>IF($A35="","",INDEX(Transactions!$B$6:$B$5000,AGGREGATE(15,6,(ROW(Transactions!$C$6:$C$5000)-ROW(Transactions!$C$6)+1)/(Transactions!$C$6:$C$5000=$B$3),ROWS($A$9:A35))))</f>
        <v/>
      </c>
      <c r="C35">
        <f>IF($A35="","",INDEX(Transactions!$E$6:$E$5000,AGGREGATE(15,6,(ROW(Transactions!$C$6:$C$5000)-ROW(Transactions!$C$6)+1)/(Transactions!$C$6:$C$5000=$B$3),ROWS($A$9:A35))))</f>
        <v/>
      </c>
      <c r="D35" s="7">
        <f>IF($A35="","",INDEX(Transactions!$F$6:$F$5000,AGGREGATE(15,6,(ROW(Transactions!$C$6:$C$5000)-ROW(Transactions!$C$6)+1)/(Transactions!$C$6:$C$5000=$B$3),ROWS($A$9:A35))))</f>
        <v/>
      </c>
      <c r="E35" s="7">
        <f>IF($A35="","",INDEX(Transactions!$G$6:$G$5000,AGGREGATE(15,6,(ROW(Transactions!$C$6:$C$5000)-ROW(Transactions!$C$6)+1)/(Transactions!$C$6:$C$5000=$B$3),ROWS($A$9:A35))))</f>
        <v/>
      </c>
      <c r="F35" s="7">
        <f>IF($A35="","",$B$5+SUM($D$9:D35)-SUM($E$9:E35))</f>
        <v/>
      </c>
      <c r="G35">
        <f>IF($A35="","",INDEX(Transactions!$H$6:$H$5000,AGGREGATE(15,6,(ROW(Transactions!$C$6:$C$5000)-ROW(Transactions!$C$6)+1)/(Transactions!$C$6:$C$5000=$B$3),ROWS($A$9:A35))))</f>
        <v/>
      </c>
      <c r="H35">
        <f>IF($A35="","",TEXT($A35,"mmm-yyyy"))</f>
        <v/>
      </c>
      <c r="I35">
        <f>IF($A35="","",$B$3)</f>
        <v/>
      </c>
    </row>
    <row r="36">
      <c r="A36" s="16">
        <f>IFERROR(INDEX(Transactions!$A$6:$A$5000,AGGREGATE(15,6,(ROW(Transactions!$C$6:$C$5000)-ROW(Transactions!$C$6)+1)/(Transactions!$C$6:$C$5000=$B$3),ROWS($A$9:A36))),"")</f>
        <v/>
      </c>
      <c r="B36">
        <f>IF($A36="","",INDEX(Transactions!$B$6:$B$5000,AGGREGATE(15,6,(ROW(Transactions!$C$6:$C$5000)-ROW(Transactions!$C$6)+1)/(Transactions!$C$6:$C$5000=$B$3),ROWS($A$9:A36))))</f>
        <v/>
      </c>
      <c r="C36">
        <f>IF($A36="","",INDEX(Transactions!$E$6:$E$5000,AGGREGATE(15,6,(ROW(Transactions!$C$6:$C$5000)-ROW(Transactions!$C$6)+1)/(Transactions!$C$6:$C$5000=$B$3),ROWS($A$9:A36))))</f>
        <v/>
      </c>
      <c r="D36" s="7">
        <f>IF($A36="","",INDEX(Transactions!$F$6:$F$5000,AGGREGATE(15,6,(ROW(Transactions!$C$6:$C$5000)-ROW(Transactions!$C$6)+1)/(Transactions!$C$6:$C$5000=$B$3),ROWS($A$9:A36))))</f>
        <v/>
      </c>
      <c r="E36" s="7">
        <f>IF($A36="","",INDEX(Transactions!$G$6:$G$5000,AGGREGATE(15,6,(ROW(Transactions!$C$6:$C$5000)-ROW(Transactions!$C$6)+1)/(Transactions!$C$6:$C$5000=$B$3),ROWS($A$9:A36))))</f>
        <v/>
      </c>
      <c r="F36" s="7">
        <f>IF($A36="","",$B$5+SUM($D$9:D36)-SUM($E$9:E36))</f>
        <v/>
      </c>
      <c r="G36">
        <f>IF($A36="","",INDEX(Transactions!$H$6:$H$5000,AGGREGATE(15,6,(ROW(Transactions!$C$6:$C$5000)-ROW(Transactions!$C$6)+1)/(Transactions!$C$6:$C$5000=$B$3),ROWS($A$9:A36))))</f>
        <v/>
      </c>
      <c r="H36">
        <f>IF($A36="","",TEXT($A36,"mmm-yyyy"))</f>
        <v/>
      </c>
      <c r="I36">
        <f>IF($A36="","",$B$3)</f>
        <v/>
      </c>
    </row>
    <row r="37">
      <c r="A37" s="16">
        <f>IFERROR(INDEX(Transactions!$A$6:$A$5000,AGGREGATE(15,6,(ROW(Transactions!$C$6:$C$5000)-ROW(Transactions!$C$6)+1)/(Transactions!$C$6:$C$5000=$B$3),ROWS($A$9:A37))),"")</f>
        <v/>
      </c>
      <c r="B37">
        <f>IF($A37="","",INDEX(Transactions!$B$6:$B$5000,AGGREGATE(15,6,(ROW(Transactions!$C$6:$C$5000)-ROW(Transactions!$C$6)+1)/(Transactions!$C$6:$C$5000=$B$3),ROWS($A$9:A37))))</f>
        <v/>
      </c>
      <c r="C37">
        <f>IF($A37="","",INDEX(Transactions!$E$6:$E$5000,AGGREGATE(15,6,(ROW(Transactions!$C$6:$C$5000)-ROW(Transactions!$C$6)+1)/(Transactions!$C$6:$C$5000=$B$3),ROWS($A$9:A37))))</f>
        <v/>
      </c>
      <c r="D37" s="7">
        <f>IF($A37="","",INDEX(Transactions!$F$6:$F$5000,AGGREGATE(15,6,(ROW(Transactions!$C$6:$C$5000)-ROW(Transactions!$C$6)+1)/(Transactions!$C$6:$C$5000=$B$3),ROWS($A$9:A37))))</f>
        <v/>
      </c>
      <c r="E37" s="7">
        <f>IF($A37="","",INDEX(Transactions!$G$6:$G$5000,AGGREGATE(15,6,(ROW(Transactions!$C$6:$C$5000)-ROW(Transactions!$C$6)+1)/(Transactions!$C$6:$C$5000=$B$3),ROWS($A$9:A37))))</f>
        <v/>
      </c>
      <c r="F37" s="7">
        <f>IF($A37="","",$B$5+SUM($D$9:D37)-SUM($E$9:E37))</f>
        <v/>
      </c>
      <c r="G37">
        <f>IF($A37="","",INDEX(Transactions!$H$6:$H$5000,AGGREGATE(15,6,(ROW(Transactions!$C$6:$C$5000)-ROW(Transactions!$C$6)+1)/(Transactions!$C$6:$C$5000=$B$3),ROWS($A$9:A37))))</f>
        <v/>
      </c>
      <c r="H37">
        <f>IF($A37="","",TEXT($A37,"mmm-yyyy"))</f>
        <v/>
      </c>
      <c r="I37">
        <f>IF($A37="","",$B$3)</f>
        <v/>
      </c>
    </row>
    <row r="38">
      <c r="A38" s="16">
        <f>IFERROR(INDEX(Transactions!$A$6:$A$5000,AGGREGATE(15,6,(ROW(Transactions!$C$6:$C$5000)-ROW(Transactions!$C$6)+1)/(Transactions!$C$6:$C$5000=$B$3),ROWS($A$9:A38))),"")</f>
        <v/>
      </c>
      <c r="B38">
        <f>IF($A38="","",INDEX(Transactions!$B$6:$B$5000,AGGREGATE(15,6,(ROW(Transactions!$C$6:$C$5000)-ROW(Transactions!$C$6)+1)/(Transactions!$C$6:$C$5000=$B$3),ROWS($A$9:A38))))</f>
        <v/>
      </c>
      <c r="C38">
        <f>IF($A38="","",INDEX(Transactions!$E$6:$E$5000,AGGREGATE(15,6,(ROW(Transactions!$C$6:$C$5000)-ROW(Transactions!$C$6)+1)/(Transactions!$C$6:$C$5000=$B$3),ROWS($A$9:A38))))</f>
        <v/>
      </c>
      <c r="D38" s="7">
        <f>IF($A38="","",INDEX(Transactions!$F$6:$F$5000,AGGREGATE(15,6,(ROW(Transactions!$C$6:$C$5000)-ROW(Transactions!$C$6)+1)/(Transactions!$C$6:$C$5000=$B$3),ROWS($A$9:A38))))</f>
        <v/>
      </c>
      <c r="E38" s="7">
        <f>IF($A38="","",INDEX(Transactions!$G$6:$G$5000,AGGREGATE(15,6,(ROW(Transactions!$C$6:$C$5000)-ROW(Transactions!$C$6)+1)/(Transactions!$C$6:$C$5000=$B$3),ROWS($A$9:A38))))</f>
        <v/>
      </c>
      <c r="F38" s="7">
        <f>IF($A38="","",$B$5+SUM($D$9:D38)-SUM($E$9:E38))</f>
        <v/>
      </c>
      <c r="G38">
        <f>IF($A38="","",INDEX(Transactions!$H$6:$H$5000,AGGREGATE(15,6,(ROW(Transactions!$C$6:$C$5000)-ROW(Transactions!$C$6)+1)/(Transactions!$C$6:$C$5000=$B$3),ROWS($A$9:A38))))</f>
        <v/>
      </c>
      <c r="H38">
        <f>IF($A38="","",TEXT($A38,"mmm-yyyy"))</f>
        <v/>
      </c>
      <c r="I38">
        <f>IF($A38="","",$B$3)</f>
        <v/>
      </c>
    </row>
    <row r="39">
      <c r="A39" s="16">
        <f>IFERROR(INDEX(Transactions!$A$6:$A$5000,AGGREGATE(15,6,(ROW(Transactions!$C$6:$C$5000)-ROW(Transactions!$C$6)+1)/(Transactions!$C$6:$C$5000=$B$3),ROWS($A$9:A39))),"")</f>
        <v/>
      </c>
      <c r="B39">
        <f>IF($A39="","",INDEX(Transactions!$B$6:$B$5000,AGGREGATE(15,6,(ROW(Transactions!$C$6:$C$5000)-ROW(Transactions!$C$6)+1)/(Transactions!$C$6:$C$5000=$B$3),ROWS($A$9:A39))))</f>
        <v/>
      </c>
      <c r="C39">
        <f>IF($A39="","",INDEX(Transactions!$E$6:$E$5000,AGGREGATE(15,6,(ROW(Transactions!$C$6:$C$5000)-ROW(Transactions!$C$6)+1)/(Transactions!$C$6:$C$5000=$B$3),ROWS($A$9:A39))))</f>
        <v/>
      </c>
      <c r="D39" s="7">
        <f>IF($A39="","",INDEX(Transactions!$F$6:$F$5000,AGGREGATE(15,6,(ROW(Transactions!$C$6:$C$5000)-ROW(Transactions!$C$6)+1)/(Transactions!$C$6:$C$5000=$B$3),ROWS($A$9:A39))))</f>
        <v/>
      </c>
      <c r="E39" s="7">
        <f>IF($A39="","",INDEX(Transactions!$G$6:$G$5000,AGGREGATE(15,6,(ROW(Transactions!$C$6:$C$5000)-ROW(Transactions!$C$6)+1)/(Transactions!$C$6:$C$5000=$B$3),ROWS($A$9:A39))))</f>
        <v/>
      </c>
      <c r="F39" s="7">
        <f>IF($A39="","",$B$5+SUM($D$9:D39)-SUM($E$9:E39))</f>
        <v/>
      </c>
      <c r="G39">
        <f>IF($A39="","",INDEX(Transactions!$H$6:$H$5000,AGGREGATE(15,6,(ROW(Transactions!$C$6:$C$5000)-ROW(Transactions!$C$6)+1)/(Transactions!$C$6:$C$5000=$B$3),ROWS($A$9:A39))))</f>
        <v/>
      </c>
      <c r="H39">
        <f>IF($A39="","",TEXT($A39,"mmm-yyyy"))</f>
        <v/>
      </c>
      <c r="I39">
        <f>IF($A39="","",$B$3)</f>
        <v/>
      </c>
    </row>
    <row r="40">
      <c r="A40" s="16">
        <f>IFERROR(INDEX(Transactions!$A$6:$A$5000,AGGREGATE(15,6,(ROW(Transactions!$C$6:$C$5000)-ROW(Transactions!$C$6)+1)/(Transactions!$C$6:$C$5000=$B$3),ROWS($A$9:A40))),"")</f>
        <v/>
      </c>
      <c r="B40">
        <f>IF($A40="","",INDEX(Transactions!$B$6:$B$5000,AGGREGATE(15,6,(ROW(Transactions!$C$6:$C$5000)-ROW(Transactions!$C$6)+1)/(Transactions!$C$6:$C$5000=$B$3),ROWS($A$9:A40))))</f>
        <v/>
      </c>
      <c r="C40">
        <f>IF($A40="","",INDEX(Transactions!$E$6:$E$5000,AGGREGATE(15,6,(ROW(Transactions!$C$6:$C$5000)-ROW(Transactions!$C$6)+1)/(Transactions!$C$6:$C$5000=$B$3),ROWS($A$9:A40))))</f>
        <v/>
      </c>
      <c r="D40" s="7">
        <f>IF($A40="","",INDEX(Transactions!$F$6:$F$5000,AGGREGATE(15,6,(ROW(Transactions!$C$6:$C$5000)-ROW(Transactions!$C$6)+1)/(Transactions!$C$6:$C$5000=$B$3),ROWS($A$9:A40))))</f>
        <v/>
      </c>
      <c r="E40" s="7">
        <f>IF($A40="","",INDEX(Transactions!$G$6:$G$5000,AGGREGATE(15,6,(ROW(Transactions!$C$6:$C$5000)-ROW(Transactions!$C$6)+1)/(Transactions!$C$6:$C$5000=$B$3),ROWS($A$9:A40))))</f>
        <v/>
      </c>
      <c r="F40" s="7">
        <f>IF($A40="","",$B$5+SUM($D$9:D40)-SUM($E$9:E40))</f>
        <v/>
      </c>
      <c r="G40">
        <f>IF($A40="","",INDEX(Transactions!$H$6:$H$5000,AGGREGATE(15,6,(ROW(Transactions!$C$6:$C$5000)-ROW(Transactions!$C$6)+1)/(Transactions!$C$6:$C$5000=$B$3),ROWS($A$9:A40))))</f>
        <v/>
      </c>
      <c r="H40">
        <f>IF($A40="","",TEXT($A40,"mmm-yyyy"))</f>
        <v/>
      </c>
      <c r="I40">
        <f>IF($A40="","",$B$3)</f>
        <v/>
      </c>
    </row>
    <row r="41">
      <c r="A41" s="16">
        <f>IFERROR(INDEX(Transactions!$A$6:$A$5000,AGGREGATE(15,6,(ROW(Transactions!$C$6:$C$5000)-ROW(Transactions!$C$6)+1)/(Transactions!$C$6:$C$5000=$B$3),ROWS($A$9:A41))),"")</f>
        <v/>
      </c>
      <c r="B41">
        <f>IF($A41="","",INDEX(Transactions!$B$6:$B$5000,AGGREGATE(15,6,(ROW(Transactions!$C$6:$C$5000)-ROW(Transactions!$C$6)+1)/(Transactions!$C$6:$C$5000=$B$3),ROWS($A$9:A41))))</f>
        <v/>
      </c>
      <c r="C41">
        <f>IF($A41="","",INDEX(Transactions!$E$6:$E$5000,AGGREGATE(15,6,(ROW(Transactions!$C$6:$C$5000)-ROW(Transactions!$C$6)+1)/(Transactions!$C$6:$C$5000=$B$3),ROWS($A$9:A41))))</f>
        <v/>
      </c>
      <c r="D41" s="7">
        <f>IF($A41="","",INDEX(Transactions!$F$6:$F$5000,AGGREGATE(15,6,(ROW(Transactions!$C$6:$C$5000)-ROW(Transactions!$C$6)+1)/(Transactions!$C$6:$C$5000=$B$3),ROWS($A$9:A41))))</f>
        <v/>
      </c>
      <c r="E41" s="7">
        <f>IF($A41="","",INDEX(Transactions!$G$6:$G$5000,AGGREGATE(15,6,(ROW(Transactions!$C$6:$C$5000)-ROW(Transactions!$C$6)+1)/(Transactions!$C$6:$C$5000=$B$3),ROWS($A$9:A41))))</f>
        <v/>
      </c>
      <c r="F41" s="7">
        <f>IF($A41="","",$B$5+SUM($D$9:D41)-SUM($E$9:E41))</f>
        <v/>
      </c>
      <c r="G41">
        <f>IF($A41="","",INDEX(Transactions!$H$6:$H$5000,AGGREGATE(15,6,(ROW(Transactions!$C$6:$C$5000)-ROW(Transactions!$C$6)+1)/(Transactions!$C$6:$C$5000=$B$3),ROWS($A$9:A41))))</f>
        <v/>
      </c>
      <c r="H41">
        <f>IF($A41="","",TEXT($A41,"mmm-yyyy"))</f>
        <v/>
      </c>
      <c r="I41">
        <f>IF($A41="","",$B$3)</f>
        <v/>
      </c>
    </row>
    <row r="42">
      <c r="A42" s="16">
        <f>IFERROR(INDEX(Transactions!$A$6:$A$5000,AGGREGATE(15,6,(ROW(Transactions!$C$6:$C$5000)-ROW(Transactions!$C$6)+1)/(Transactions!$C$6:$C$5000=$B$3),ROWS($A$9:A42))),"")</f>
        <v/>
      </c>
      <c r="B42">
        <f>IF($A42="","",INDEX(Transactions!$B$6:$B$5000,AGGREGATE(15,6,(ROW(Transactions!$C$6:$C$5000)-ROW(Transactions!$C$6)+1)/(Transactions!$C$6:$C$5000=$B$3),ROWS($A$9:A42))))</f>
        <v/>
      </c>
      <c r="C42">
        <f>IF($A42="","",INDEX(Transactions!$E$6:$E$5000,AGGREGATE(15,6,(ROW(Transactions!$C$6:$C$5000)-ROW(Transactions!$C$6)+1)/(Transactions!$C$6:$C$5000=$B$3),ROWS($A$9:A42))))</f>
        <v/>
      </c>
      <c r="D42" s="7">
        <f>IF($A42="","",INDEX(Transactions!$F$6:$F$5000,AGGREGATE(15,6,(ROW(Transactions!$C$6:$C$5000)-ROW(Transactions!$C$6)+1)/(Transactions!$C$6:$C$5000=$B$3),ROWS($A$9:A42))))</f>
        <v/>
      </c>
      <c r="E42" s="7">
        <f>IF($A42="","",INDEX(Transactions!$G$6:$G$5000,AGGREGATE(15,6,(ROW(Transactions!$C$6:$C$5000)-ROW(Transactions!$C$6)+1)/(Transactions!$C$6:$C$5000=$B$3),ROWS($A$9:A42))))</f>
        <v/>
      </c>
      <c r="F42" s="7">
        <f>IF($A42="","",$B$5+SUM($D$9:D42)-SUM($E$9:E42))</f>
        <v/>
      </c>
      <c r="G42">
        <f>IF($A42="","",INDEX(Transactions!$H$6:$H$5000,AGGREGATE(15,6,(ROW(Transactions!$C$6:$C$5000)-ROW(Transactions!$C$6)+1)/(Transactions!$C$6:$C$5000=$B$3),ROWS($A$9:A42))))</f>
        <v/>
      </c>
      <c r="H42">
        <f>IF($A42="","",TEXT($A42,"mmm-yyyy"))</f>
        <v/>
      </c>
      <c r="I42">
        <f>IF($A42="","",$B$3)</f>
        <v/>
      </c>
    </row>
    <row r="43">
      <c r="A43" s="16">
        <f>IFERROR(INDEX(Transactions!$A$6:$A$5000,AGGREGATE(15,6,(ROW(Transactions!$C$6:$C$5000)-ROW(Transactions!$C$6)+1)/(Transactions!$C$6:$C$5000=$B$3),ROWS($A$9:A43))),"")</f>
        <v/>
      </c>
      <c r="B43">
        <f>IF($A43="","",INDEX(Transactions!$B$6:$B$5000,AGGREGATE(15,6,(ROW(Transactions!$C$6:$C$5000)-ROW(Transactions!$C$6)+1)/(Transactions!$C$6:$C$5000=$B$3),ROWS($A$9:A43))))</f>
        <v/>
      </c>
      <c r="C43">
        <f>IF($A43="","",INDEX(Transactions!$E$6:$E$5000,AGGREGATE(15,6,(ROW(Transactions!$C$6:$C$5000)-ROW(Transactions!$C$6)+1)/(Transactions!$C$6:$C$5000=$B$3),ROWS($A$9:A43))))</f>
        <v/>
      </c>
      <c r="D43" s="7">
        <f>IF($A43="","",INDEX(Transactions!$F$6:$F$5000,AGGREGATE(15,6,(ROW(Transactions!$C$6:$C$5000)-ROW(Transactions!$C$6)+1)/(Transactions!$C$6:$C$5000=$B$3),ROWS($A$9:A43))))</f>
        <v/>
      </c>
      <c r="E43" s="7">
        <f>IF($A43="","",INDEX(Transactions!$G$6:$G$5000,AGGREGATE(15,6,(ROW(Transactions!$C$6:$C$5000)-ROW(Transactions!$C$6)+1)/(Transactions!$C$6:$C$5000=$B$3),ROWS($A$9:A43))))</f>
        <v/>
      </c>
      <c r="F43" s="7">
        <f>IF($A43="","",$B$5+SUM($D$9:D43)-SUM($E$9:E43))</f>
        <v/>
      </c>
      <c r="G43">
        <f>IF($A43="","",INDEX(Transactions!$H$6:$H$5000,AGGREGATE(15,6,(ROW(Transactions!$C$6:$C$5000)-ROW(Transactions!$C$6)+1)/(Transactions!$C$6:$C$5000=$B$3),ROWS($A$9:A43))))</f>
        <v/>
      </c>
      <c r="H43">
        <f>IF($A43="","",TEXT($A43,"mmm-yyyy"))</f>
        <v/>
      </c>
      <c r="I43">
        <f>IF($A43="","",$B$3)</f>
        <v/>
      </c>
    </row>
    <row r="44">
      <c r="A44" s="16">
        <f>IFERROR(INDEX(Transactions!$A$6:$A$5000,AGGREGATE(15,6,(ROW(Transactions!$C$6:$C$5000)-ROW(Transactions!$C$6)+1)/(Transactions!$C$6:$C$5000=$B$3),ROWS($A$9:A44))),"")</f>
        <v/>
      </c>
      <c r="B44">
        <f>IF($A44="","",INDEX(Transactions!$B$6:$B$5000,AGGREGATE(15,6,(ROW(Transactions!$C$6:$C$5000)-ROW(Transactions!$C$6)+1)/(Transactions!$C$6:$C$5000=$B$3),ROWS($A$9:A44))))</f>
        <v/>
      </c>
      <c r="C44">
        <f>IF($A44="","",INDEX(Transactions!$E$6:$E$5000,AGGREGATE(15,6,(ROW(Transactions!$C$6:$C$5000)-ROW(Transactions!$C$6)+1)/(Transactions!$C$6:$C$5000=$B$3),ROWS($A$9:A44))))</f>
        <v/>
      </c>
      <c r="D44" s="7">
        <f>IF($A44="","",INDEX(Transactions!$F$6:$F$5000,AGGREGATE(15,6,(ROW(Transactions!$C$6:$C$5000)-ROW(Transactions!$C$6)+1)/(Transactions!$C$6:$C$5000=$B$3),ROWS($A$9:A44))))</f>
        <v/>
      </c>
      <c r="E44" s="7">
        <f>IF($A44="","",INDEX(Transactions!$G$6:$G$5000,AGGREGATE(15,6,(ROW(Transactions!$C$6:$C$5000)-ROW(Transactions!$C$6)+1)/(Transactions!$C$6:$C$5000=$B$3),ROWS($A$9:A44))))</f>
        <v/>
      </c>
      <c r="F44" s="7">
        <f>IF($A44="","",$B$5+SUM($D$9:D44)-SUM($E$9:E44))</f>
        <v/>
      </c>
      <c r="G44">
        <f>IF($A44="","",INDEX(Transactions!$H$6:$H$5000,AGGREGATE(15,6,(ROW(Transactions!$C$6:$C$5000)-ROW(Transactions!$C$6)+1)/(Transactions!$C$6:$C$5000=$B$3),ROWS($A$9:A44))))</f>
        <v/>
      </c>
      <c r="H44">
        <f>IF($A44="","",TEXT($A44,"mmm-yyyy"))</f>
        <v/>
      </c>
      <c r="I44">
        <f>IF($A44="","",$B$3)</f>
        <v/>
      </c>
    </row>
    <row r="45">
      <c r="A45" s="16">
        <f>IFERROR(INDEX(Transactions!$A$6:$A$5000,AGGREGATE(15,6,(ROW(Transactions!$C$6:$C$5000)-ROW(Transactions!$C$6)+1)/(Transactions!$C$6:$C$5000=$B$3),ROWS($A$9:A45))),"")</f>
        <v/>
      </c>
      <c r="B45">
        <f>IF($A45="","",INDEX(Transactions!$B$6:$B$5000,AGGREGATE(15,6,(ROW(Transactions!$C$6:$C$5000)-ROW(Transactions!$C$6)+1)/(Transactions!$C$6:$C$5000=$B$3),ROWS($A$9:A45))))</f>
        <v/>
      </c>
      <c r="C45">
        <f>IF($A45="","",INDEX(Transactions!$E$6:$E$5000,AGGREGATE(15,6,(ROW(Transactions!$C$6:$C$5000)-ROW(Transactions!$C$6)+1)/(Transactions!$C$6:$C$5000=$B$3),ROWS($A$9:A45))))</f>
        <v/>
      </c>
      <c r="D45" s="7">
        <f>IF($A45="","",INDEX(Transactions!$F$6:$F$5000,AGGREGATE(15,6,(ROW(Transactions!$C$6:$C$5000)-ROW(Transactions!$C$6)+1)/(Transactions!$C$6:$C$5000=$B$3),ROWS($A$9:A45))))</f>
        <v/>
      </c>
      <c r="E45" s="7">
        <f>IF($A45="","",INDEX(Transactions!$G$6:$G$5000,AGGREGATE(15,6,(ROW(Transactions!$C$6:$C$5000)-ROW(Transactions!$C$6)+1)/(Transactions!$C$6:$C$5000=$B$3),ROWS($A$9:A45))))</f>
        <v/>
      </c>
      <c r="F45" s="7">
        <f>IF($A45="","",$B$5+SUM($D$9:D45)-SUM($E$9:E45))</f>
        <v/>
      </c>
      <c r="G45">
        <f>IF($A45="","",INDEX(Transactions!$H$6:$H$5000,AGGREGATE(15,6,(ROW(Transactions!$C$6:$C$5000)-ROW(Transactions!$C$6)+1)/(Transactions!$C$6:$C$5000=$B$3),ROWS($A$9:A45))))</f>
        <v/>
      </c>
      <c r="H45">
        <f>IF($A45="","",TEXT($A45,"mmm-yyyy"))</f>
        <v/>
      </c>
      <c r="I45">
        <f>IF($A45="","",$B$3)</f>
        <v/>
      </c>
    </row>
    <row r="46">
      <c r="A46" s="16">
        <f>IFERROR(INDEX(Transactions!$A$6:$A$5000,AGGREGATE(15,6,(ROW(Transactions!$C$6:$C$5000)-ROW(Transactions!$C$6)+1)/(Transactions!$C$6:$C$5000=$B$3),ROWS($A$9:A46))),"")</f>
        <v/>
      </c>
      <c r="B46">
        <f>IF($A46="","",INDEX(Transactions!$B$6:$B$5000,AGGREGATE(15,6,(ROW(Transactions!$C$6:$C$5000)-ROW(Transactions!$C$6)+1)/(Transactions!$C$6:$C$5000=$B$3),ROWS($A$9:A46))))</f>
        <v/>
      </c>
      <c r="C46">
        <f>IF($A46="","",INDEX(Transactions!$E$6:$E$5000,AGGREGATE(15,6,(ROW(Transactions!$C$6:$C$5000)-ROW(Transactions!$C$6)+1)/(Transactions!$C$6:$C$5000=$B$3),ROWS($A$9:A46))))</f>
        <v/>
      </c>
      <c r="D46" s="7">
        <f>IF($A46="","",INDEX(Transactions!$F$6:$F$5000,AGGREGATE(15,6,(ROW(Transactions!$C$6:$C$5000)-ROW(Transactions!$C$6)+1)/(Transactions!$C$6:$C$5000=$B$3),ROWS($A$9:A46))))</f>
        <v/>
      </c>
      <c r="E46" s="7">
        <f>IF($A46="","",INDEX(Transactions!$G$6:$G$5000,AGGREGATE(15,6,(ROW(Transactions!$C$6:$C$5000)-ROW(Transactions!$C$6)+1)/(Transactions!$C$6:$C$5000=$B$3),ROWS($A$9:A46))))</f>
        <v/>
      </c>
      <c r="F46" s="7">
        <f>IF($A46="","",$B$5+SUM($D$9:D46)-SUM($E$9:E46))</f>
        <v/>
      </c>
      <c r="G46">
        <f>IF($A46="","",INDEX(Transactions!$H$6:$H$5000,AGGREGATE(15,6,(ROW(Transactions!$C$6:$C$5000)-ROW(Transactions!$C$6)+1)/(Transactions!$C$6:$C$5000=$B$3),ROWS($A$9:A46))))</f>
        <v/>
      </c>
      <c r="H46">
        <f>IF($A46="","",TEXT($A46,"mmm-yyyy"))</f>
        <v/>
      </c>
      <c r="I46">
        <f>IF($A46="","",$B$3)</f>
        <v/>
      </c>
    </row>
    <row r="47">
      <c r="A47" s="16">
        <f>IFERROR(INDEX(Transactions!$A$6:$A$5000,AGGREGATE(15,6,(ROW(Transactions!$C$6:$C$5000)-ROW(Transactions!$C$6)+1)/(Transactions!$C$6:$C$5000=$B$3),ROWS($A$9:A47))),"")</f>
        <v/>
      </c>
      <c r="B47">
        <f>IF($A47="","",INDEX(Transactions!$B$6:$B$5000,AGGREGATE(15,6,(ROW(Transactions!$C$6:$C$5000)-ROW(Transactions!$C$6)+1)/(Transactions!$C$6:$C$5000=$B$3),ROWS($A$9:A47))))</f>
        <v/>
      </c>
      <c r="C47">
        <f>IF($A47="","",INDEX(Transactions!$E$6:$E$5000,AGGREGATE(15,6,(ROW(Transactions!$C$6:$C$5000)-ROW(Transactions!$C$6)+1)/(Transactions!$C$6:$C$5000=$B$3),ROWS($A$9:A47))))</f>
        <v/>
      </c>
      <c r="D47" s="7">
        <f>IF($A47="","",INDEX(Transactions!$F$6:$F$5000,AGGREGATE(15,6,(ROW(Transactions!$C$6:$C$5000)-ROW(Transactions!$C$6)+1)/(Transactions!$C$6:$C$5000=$B$3),ROWS($A$9:A47))))</f>
        <v/>
      </c>
      <c r="E47" s="7">
        <f>IF($A47="","",INDEX(Transactions!$G$6:$G$5000,AGGREGATE(15,6,(ROW(Transactions!$C$6:$C$5000)-ROW(Transactions!$C$6)+1)/(Transactions!$C$6:$C$5000=$B$3),ROWS($A$9:A47))))</f>
        <v/>
      </c>
      <c r="F47" s="7">
        <f>IF($A47="","",$B$5+SUM($D$9:D47)-SUM($E$9:E47))</f>
        <v/>
      </c>
      <c r="G47">
        <f>IF($A47="","",INDEX(Transactions!$H$6:$H$5000,AGGREGATE(15,6,(ROW(Transactions!$C$6:$C$5000)-ROW(Transactions!$C$6)+1)/(Transactions!$C$6:$C$5000=$B$3),ROWS($A$9:A47))))</f>
        <v/>
      </c>
      <c r="H47">
        <f>IF($A47="","",TEXT($A47,"mmm-yyyy"))</f>
        <v/>
      </c>
      <c r="I47">
        <f>IF($A47="","",$B$3)</f>
        <v/>
      </c>
    </row>
    <row r="48">
      <c r="A48" s="16">
        <f>IFERROR(INDEX(Transactions!$A$6:$A$5000,AGGREGATE(15,6,(ROW(Transactions!$C$6:$C$5000)-ROW(Transactions!$C$6)+1)/(Transactions!$C$6:$C$5000=$B$3),ROWS($A$9:A48))),"")</f>
        <v/>
      </c>
      <c r="B48">
        <f>IF($A48="","",INDEX(Transactions!$B$6:$B$5000,AGGREGATE(15,6,(ROW(Transactions!$C$6:$C$5000)-ROW(Transactions!$C$6)+1)/(Transactions!$C$6:$C$5000=$B$3),ROWS($A$9:A48))))</f>
        <v/>
      </c>
      <c r="C48">
        <f>IF($A48="","",INDEX(Transactions!$E$6:$E$5000,AGGREGATE(15,6,(ROW(Transactions!$C$6:$C$5000)-ROW(Transactions!$C$6)+1)/(Transactions!$C$6:$C$5000=$B$3),ROWS($A$9:A48))))</f>
        <v/>
      </c>
      <c r="D48" s="7">
        <f>IF($A48="","",INDEX(Transactions!$F$6:$F$5000,AGGREGATE(15,6,(ROW(Transactions!$C$6:$C$5000)-ROW(Transactions!$C$6)+1)/(Transactions!$C$6:$C$5000=$B$3),ROWS($A$9:A48))))</f>
        <v/>
      </c>
      <c r="E48" s="7">
        <f>IF($A48="","",INDEX(Transactions!$G$6:$G$5000,AGGREGATE(15,6,(ROW(Transactions!$C$6:$C$5000)-ROW(Transactions!$C$6)+1)/(Transactions!$C$6:$C$5000=$B$3),ROWS($A$9:A48))))</f>
        <v/>
      </c>
      <c r="F48" s="7">
        <f>IF($A48="","",$B$5+SUM($D$9:D48)-SUM($E$9:E48))</f>
        <v/>
      </c>
      <c r="G48">
        <f>IF($A48="","",INDEX(Transactions!$H$6:$H$5000,AGGREGATE(15,6,(ROW(Transactions!$C$6:$C$5000)-ROW(Transactions!$C$6)+1)/(Transactions!$C$6:$C$5000=$B$3),ROWS($A$9:A48))))</f>
        <v/>
      </c>
      <c r="H48">
        <f>IF($A48="","",TEXT($A48,"mmm-yyyy"))</f>
        <v/>
      </c>
      <c r="I48">
        <f>IF($A48="","",$B$3)</f>
        <v/>
      </c>
    </row>
    <row r="49">
      <c r="A49" s="16">
        <f>IFERROR(INDEX(Transactions!$A$6:$A$5000,AGGREGATE(15,6,(ROW(Transactions!$C$6:$C$5000)-ROW(Transactions!$C$6)+1)/(Transactions!$C$6:$C$5000=$B$3),ROWS($A$9:A49))),"")</f>
        <v/>
      </c>
      <c r="B49">
        <f>IF($A49="","",INDEX(Transactions!$B$6:$B$5000,AGGREGATE(15,6,(ROW(Transactions!$C$6:$C$5000)-ROW(Transactions!$C$6)+1)/(Transactions!$C$6:$C$5000=$B$3),ROWS($A$9:A49))))</f>
        <v/>
      </c>
      <c r="C49">
        <f>IF($A49="","",INDEX(Transactions!$E$6:$E$5000,AGGREGATE(15,6,(ROW(Transactions!$C$6:$C$5000)-ROW(Transactions!$C$6)+1)/(Transactions!$C$6:$C$5000=$B$3),ROWS($A$9:A49))))</f>
        <v/>
      </c>
      <c r="D49" s="7">
        <f>IF($A49="","",INDEX(Transactions!$F$6:$F$5000,AGGREGATE(15,6,(ROW(Transactions!$C$6:$C$5000)-ROW(Transactions!$C$6)+1)/(Transactions!$C$6:$C$5000=$B$3),ROWS($A$9:A49))))</f>
        <v/>
      </c>
      <c r="E49" s="7">
        <f>IF($A49="","",INDEX(Transactions!$G$6:$G$5000,AGGREGATE(15,6,(ROW(Transactions!$C$6:$C$5000)-ROW(Transactions!$C$6)+1)/(Transactions!$C$6:$C$5000=$B$3),ROWS($A$9:A49))))</f>
        <v/>
      </c>
      <c r="F49" s="7">
        <f>IF($A49="","",$B$5+SUM($D$9:D49)-SUM($E$9:E49))</f>
        <v/>
      </c>
      <c r="G49">
        <f>IF($A49="","",INDEX(Transactions!$H$6:$H$5000,AGGREGATE(15,6,(ROW(Transactions!$C$6:$C$5000)-ROW(Transactions!$C$6)+1)/(Transactions!$C$6:$C$5000=$B$3),ROWS($A$9:A49))))</f>
        <v/>
      </c>
      <c r="H49">
        <f>IF($A49="","",TEXT($A49,"mmm-yyyy"))</f>
        <v/>
      </c>
      <c r="I49">
        <f>IF($A49="","",$B$3)</f>
        <v/>
      </c>
    </row>
    <row r="50">
      <c r="A50" s="16">
        <f>IFERROR(INDEX(Transactions!$A$6:$A$5000,AGGREGATE(15,6,(ROW(Transactions!$C$6:$C$5000)-ROW(Transactions!$C$6)+1)/(Transactions!$C$6:$C$5000=$B$3),ROWS($A$9:A50))),"")</f>
        <v/>
      </c>
      <c r="B50">
        <f>IF($A50="","",INDEX(Transactions!$B$6:$B$5000,AGGREGATE(15,6,(ROW(Transactions!$C$6:$C$5000)-ROW(Transactions!$C$6)+1)/(Transactions!$C$6:$C$5000=$B$3),ROWS($A$9:A50))))</f>
        <v/>
      </c>
      <c r="C50">
        <f>IF($A50="","",INDEX(Transactions!$E$6:$E$5000,AGGREGATE(15,6,(ROW(Transactions!$C$6:$C$5000)-ROW(Transactions!$C$6)+1)/(Transactions!$C$6:$C$5000=$B$3),ROWS($A$9:A50))))</f>
        <v/>
      </c>
      <c r="D50" s="7">
        <f>IF($A50="","",INDEX(Transactions!$F$6:$F$5000,AGGREGATE(15,6,(ROW(Transactions!$C$6:$C$5000)-ROW(Transactions!$C$6)+1)/(Transactions!$C$6:$C$5000=$B$3),ROWS($A$9:A50))))</f>
        <v/>
      </c>
      <c r="E50" s="7">
        <f>IF($A50="","",INDEX(Transactions!$G$6:$G$5000,AGGREGATE(15,6,(ROW(Transactions!$C$6:$C$5000)-ROW(Transactions!$C$6)+1)/(Transactions!$C$6:$C$5000=$B$3),ROWS($A$9:A50))))</f>
        <v/>
      </c>
      <c r="F50" s="7">
        <f>IF($A50="","",$B$5+SUM($D$9:D50)-SUM($E$9:E50))</f>
        <v/>
      </c>
      <c r="G50">
        <f>IF($A50="","",INDEX(Transactions!$H$6:$H$5000,AGGREGATE(15,6,(ROW(Transactions!$C$6:$C$5000)-ROW(Transactions!$C$6)+1)/(Transactions!$C$6:$C$5000=$B$3),ROWS($A$9:A50))))</f>
        <v/>
      </c>
      <c r="H50">
        <f>IF($A50="","",TEXT($A50,"mmm-yyyy"))</f>
        <v/>
      </c>
      <c r="I50">
        <f>IF($A50="","",$B$3)</f>
        <v/>
      </c>
    </row>
    <row r="51">
      <c r="A51" s="16">
        <f>IFERROR(INDEX(Transactions!$A$6:$A$5000,AGGREGATE(15,6,(ROW(Transactions!$C$6:$C$5000)-ROW(Transactions!$C$6)+1)/(Transactions!$C$6:$C$5000=$B$3),ROWS($A$9:A51))),"")</f>
        <v/>
      </c>
      <c r="B51">
        <f>IF($A51="","",INDEX(Transactions!$B$6:$B$5000,AGGREGATE(15,6,(ROW(Transactions!$C$6:$C$5000)-ROW(Transactions!$C$6)+1)/(Transactions!$C$6:$C$5000=$B$3),ROWS($A$9:A51))))</f>
        <v/>
      </c>
      <c r="C51">
        <f>IF($A51="","",INDEX(Transactions!$E$6:$E$5000,AGGREGATE(15,6,(ROW(Transactions!$C$6:$C$5000)-ROW(Transactions!$C$6)+1)/(Transactions!$C$6:$C$5000=$B$3),ROWS($A$9:A51))))</f>
        <v/>
      </c>
      <c r="D51" s="7">
        <f>IF($A51="","",INDEX(Transactions!$F$6:$F$5000,AGGREGATE(15,6,(ROW(Transactions!$C$6:$C$5000)-ROW(Transactions!$C$6)+1)/(Transactions!$C$6:$C$5000=$B$3),ROWS($A$9:A51))))</f>
        <v/>
      </c>
      <c r="E51" s="7">
        <f>IF($A51="","",INDEX(Transactions!$G$6:$G$5000,AGGREGATE(15,6,(ROW(Transactions!$C$6:$C$5000)-ROW(Transactions!$C$6)+1)/(Transactions!$C$6:$C$5000=$B$3),ROWS($A$9:A51))))</f>
        <v/>
      </c>
      <c r="F51" s="7">
        <f>IF($A51="","",$B$5+SUM($D$9:D51)-SUM($E$9:E51))</f>
        <v/>
      </c>
      <c r="G51">
        <f>IF($A51="","",INDEX(Transactions!$H$6:$H$5000,AGGREGATE(15,6,(ROW(Transactions!$C$6:$C$5000)-ROW(Transactions!$C$6)+1)/(Transactions!$C$6:$C$5000=$B$3),ROWS($A$9:A51))))</f>
        <v/>
      </c>
      <c r="H51">
        <f>IF($A51="","",TEXT($A51,"mmm-yyyy"))</f>
        <v/>
      </c>
      <c r="I51">
        <f>IF($A51="","",$B$3)</f>
        <v/>
      </c>
    </row>
    <row r="52">
      <c r="A52" s="16">
        <f>IFERROR(INDEX(Transactions!$A$6:$A$5000,AGGREGATE(15,6,(ROW(Transactions!$C$6:$C$5000)-ROW(Transactions!$C$6)+1)/(Transactions!$C$6:$C$5000=$B$3),ROWS($A$9:A52))),"")</f>
        <v/>
      </c>
      <c r="B52">
        <f>IF($A52="","",INDEX(Transactions!$B$6:$B$5000,AGGREGATE(15,6,(ROW(Transactions!$C$6:$C$5000)-ROW(Transactions!$C$6)+1)/(Transactions!$C$6:$C$5000=$B$3),ROWS($A$9:A52))))</f>
        <v/>
      </c>
      <c r="C52">
        <f>IF($A52="","",INDEX(Transactions!$E$6:$E$5000,AGGREGATE(15,6,(ROW(Transactions!$C$6:$C$5000)-ROW(Transactions!$C$6)+1)/(Transactions!$C$6:$C$5000=$B$3),ROWS($A$9:A52))))</f>
        <v/>
      </c>
      <c r="D52" s="7">
        <f>IF($A52="","",INDEX(Transactions!$F$6:$F$5000,AGGREGATE(15,6,(ROW(Transactions!$C$6:$C$5000)-ROW(Transactions!$C$6)+1)/(Transactions!$C$6:$C$5000=$B$3),ROWS($A$9:A52))))</f>
        <v/>
      </c>
      <c r="E52" s="7">
        <f>IF($A52="","",INDEX(Transactions!$G$6:$G$5000,AGGREGATE(15,6,(ROW(Transactions!$C$6:$C$5000)-ROW(Transactions!$C$6)+1)/(Transactions!$C$6:$C$5000=$B$3),ROWS($A$9:A52))))</f>
        <v/>
      </c>
      <c r="F52" s="7">
        <f>IF($A52="","",$B$5+SUM($D$9:D52)-SUM($E$9:E52))</f>
        <v/>
      </c>
      <c r="G52">
        <f>IF($A52="","",INDEX(Transactions!$H$6:$H$5000,AGGREGATE(15,6,(ROW(Transactions!$C$6:$C$5000)-ROW(Transactions!$C$6)+1)/(Transactions!$C$6:$C$5000=$B$3),ROWS($A$9:A52))))</f>
        <v/>
      </c>
      <c r="H52">
        <f>IF($A52="","",TEXT($A52,"mmm-yyyy"))</f>
        <v/>
      </c>
      <c r="I52">
        <f>IF($A52="","",$B$3)</f>
        <v/>
      </c>
    </row>
    <row r="53">
      <c r="A53" s="16">
        <f>IFERROR(INDEX(Transactions!$A$6:$A$5000,AGGREGATE(15,6,(ROW(Transactions!$C$6:$C$5000)-ROW(Transactions!$C$6)+1)/(Transactions!$C$6:$C$5000=$B$3),ROWS($A$9:A53))),"")</f>
        <v/>
      </c>
      <c r="B53">
        <f>IF($A53="","",INDEX(Transactions!$B$6:$B$5000,AGGREGATE(15,6,(ROW(Transactions!$C$6:$C$5000)-ROW(Transactions!$C$6)+1)/(Transactions!$C$6:$C$5000=$B$3),ROWS($A$9:A53))))</f>
        <v/>
      </c>
      <c r="C53">
        <f>IF($A53="","",INDEX(Transactions!$E$6:$E$5000,AGGREGATE(15,6,(ROW(Transactions!$C$6:$C$5000)-ROW(Transactions!$C$6)+1)/(Transactions!$C$6:$C$5000=$B$3),ROWS($A$9:A53))))</f>
        <v/>
      </c>
      <c r="D53" s="7">
        <f>IF($A53="","",INDEX(Transactions!$F$6:$F$5000,AGGREGATE(15,6,(ROW(Transactions!$C$6:$C$5000)-ROW(Transactions!$C$6)+1)/(Transactions!$C$6:$C$5000=$B$3),ROWS($A$9:A53))))</f>
        <v/>
      </c>
      <c r="E53" s="7">
        <f>IF($A53="","",INDEX(Transactions!$G$6:$G$5000,AGGREGATE(15,6,(ROW(Transactions!$C$6:$C$5000)-ROW(Transactions!$C$6)+1)/(Transactions!$C$6:$C$5000=$B$3),ROWS($A$9:A53))))</f>
        <v/>
      </c>
      <c r="F53" s="7">
        <f>IF($A53="","",$B$5+SUM($D$9:D53)-SUM($E$9:E53))</f>
        <v/>
      </c>
      <c r="G53">
        <f>IF($A53="","",INDEX(Transactions!$H$6:$H$5000,AGGREGATE(15,6,(ROW(Transactions!$C$6:$C$5000)-ROW(Transactions!$C$6)+1)/(Transactions!$C$6:$C$5000=$B$3),ROWS($A$9:A53))))</f>
        <v/>
      </c>
      <c r="H53">
        <f>IF($A53="","",TEXT($A53,"mmm-yyyy"))</f>
        <v/>
      </c>
      <c r="I53">
        <f>IF($A53="","",$B$3)</f>
        <v/>
      </c>
    </row>
    <row r="54">
      <c r="A54" s="16">
        <f>IFERROR(INDEX(Transactions!$A$6:$A$5000,AGGREGATE(15,6,(ROW(Transactions!$C$6:$C$5000)-ROW(Transactions!$C$6)+1)/(Transactions!$C$6:$C$5000=$B$3),ROWS($A$9:A54))),"")</f>
        <v/>
      </c>
      <c r="B54">
        <f>IF($A54="","",INDEX(Transactions!$B$6:$B$5000,AGGREGATE(15,6,(ROW(Transactions!$C$6:$C$5000)-ROW(Transactions!$C$6)+1)/(Transactions!$C$6:$C$5000=$B$3),ROWS($A$9:A54))))</f>
        <v/>
      </c>
      <c r="C54">
        <f>IF($A54="","",INDEX(Transactions!$E$6:$E$5000,AGGREGATE(15,6,(ROW(Transactions!$C$6:$C$5000)-ROW(Transactions!$C$6)+1)/(Transactions!$C$6:$C$5000=$B$3),ROWS($A$9:A54))))</f>
        <v/>
      </c>
      <c r="D54" s="7">
        <f>IF($A54="","",INDEX(Transactions!$F$6:$F$5000,AGGREGATE(15,6,(ROW(Transactions!$C$6:$C$5000)-ROW(Transactions!$C$6)+1)/(Transactions!$C$6:$C$5000=$B$3),ROWS($A$9:A54))))</f>
        <v/>
      </c>
      <c r="E54" s="7">
        <f>IF($A54="","",INDEX(Transactions!$G$6:$G$5000,AGGREGATE(15,6,(ROW(Transactions!$C$6:$C$5000)-ROW(Transactions!$C$6)+1)/(Transactions!$C$6:$C$5000=$B$3),ROWS($A$9:A54))))</f>
        <v/>
      </c>
      <c r="F54" s="7">
        <f>IF($A54="","",$B$5+SUM($D$9:D54)-SUM($E$9:E54))</f>
        <v/>
      </c>
      <c r="G54">
        <f>IF($A54="","",INDEX(Transactions!$H$6:$H$5000,AGGREGATE(15,6,(ROW(Transactions!$C$6:$C$5000)-ROW(Transactions!$C$6)+1)/(Transactions!$C$6:$C$5000=$B$3),ROWS($A$9:A54))))</f>
        <v/>
      </c>
      <c r="H54">
        <f>IF($A54="","",TEXT($A54,"mmm-yyyy"))</f>
        <v/>
      </c>
      <c r="I54">
        <f>IF($A54="","",$B$3)</f>
        <v/>
      </c>
    </row>
    <row r="55">
      <c r="A55" s="16">
        <f>IFERROR(INDEX(Transactions!$A$6:$A$5000,AGGREGATE(15,6,(ROW(Transactions!$C$6:$C$5000)-ROW(Transactions!$C$6)+1)/(Transactions!$C$6:$C$5000=$B$3),ROWS($A$9:A55))),"")</f>
        <v/>
      </c>
      <c r="B55">
        <f>IF($A55="","",INDEX(Transactions!$B$6:$B$5000,AGGREGATE(15,6,(ROW(Transactions!$C$6:$C$5000)-ROW(Transactions!$C$6)+1)/(Transactions!$C$6:$C$5000=$B$3),ROWS($A$9:A55))))</f>
        <v/>
      </c>
      <c r="C55">
        <f>IF($A55="","",INDEX(Transactions!$E$6:$E$5000,AGGREGATE(15,6,(ROW(Transactions!$C$6:$C$5000)-ROW(Transactions!$C$6)+1)/(Transactions!$C$6:$C$5000=$B$3),ROWS($A$9:A55))))</f>
        <v/>
      </c>
      <c r="D55" s="7">
        <f>IF($A55="","",INDEX(Transactions!$F$6:$F$5000,AGGREGATE(15,6,(ROW(Transactions!$C$6:$C$5000)-ROW(Transactions!$C$6)+1)/(Transactions!$C$6:$C$5000=$B$3),ROWS($A$9:A55))))</f>
        <v/>
      </c>
      <c r="E55" s="7">
        <f>IF($A55="","",INDEX(Transactions!$G$6:$G$5000,AGGREGATE(15,6,(ROW(Transactions!$C$6:$C$5000)-ROW(Transactions!$C$6)+1)/(Transactions!$C$6:$C$5000=$B$3),ROWS($A$9:A55))))</f>
        <v/>
      </c>
      <c r="F55" s="7">
        <f>IF($A55="","",$B$5+SUM($D$9:D55)-SUM($E$9:E55))</f>
        <v/>
      </c>
      <c r="G55">
        <f>IF($A55="","",INDEX(Transactions!$H$6:$H$5000,AGGREGATE(15,6,(ROW(Transactions!$C$6:$C$5000)-ROW(Transactions!$C$6)+1)/(Transactions!$C$6:$C$5000=$B$3),ROWS($A$9:A55))))</f>
        <v/>
      </c>
      <c r="H55">
        <f>IF($A55="","",TEXT($A55,"mmm-yyyy"))</f>
        <v/>
      </c>
      <c r="I55">
        <f>IF($A55="","",$B$3)</f>
        <v/>
      </c>
    </row>
    <row r="56">
      <c r="A56" s="16">
        <f>IFERROR(INDEX(Transactions!$A$6:$A$5000,AGGREGATE(15,6,(ROW(Transactions!$C$6:$C$5000)-ROW(Transactions!$C$6)+1)/(Transactions!$C$6:$C$5000=$B$3),ROWS($A$9:A56))),"")</f>
        <v/>
      </c>
      <c r="B56">
        <f>IF($A56="","",INDEX(Transactions!$B$6:$B$5000,AGGREGATE(15,6,(ROW(Transactions!$C$6:$C$5000)-ROW(Transactions!$C$6)+1)/(Transactions!$C$6:$C$5000=$B$3),ROWS($A$9:A56))))</f>
        <v/>
      </c>
      <c r="C56">
        <f>IF($A56="","",INDEX(Transactions!$E$6:$E$5000,AGGREGATE(15,6,(ROW(Transactions!$C$6:$C$5000)-ROW(Transactions!$C$6)+1)/(Transactions!$C$6:$C$5000=$B$3),ROWS($A$9:A56))))</f>
        <v/>
      </c>
      <c r="D56" s="7">
        <f>IF($A56="","",INDEX(Transactions!$F$6:$F$5000,AGGREGATE(15,6,(ROW(Transactions!$C$6:$C$5000)-ROW(Transactions!$C$6)+1)/(Transactions!$C$6:$C$5000=$B$3),ROWS($A$9:A56))))</f>
        <v/>
      </c>
      <c r="E56" s="7">
        <f>IF($A56="","",INDEX(Transactions!$G$6:$G$5000,AGGREGATE(15,6,(ROW(Transactions!$C$6:$C$5000)-ROW(Transactions!$C$6)+1)/(Transactions!$C$6:$C$5000=$B$3),ROWS($A$9:A56))))</f>
        <v/>
      </c>
      <c r="F56" s="7">
        <f>IF($A56="","",$B$5+SUM($D$9:D56)-SUM($E$9:E56))</f>
        <v/>
      </c>
      <c r="G56">
        <f>IF($A56="","",INDEX(Transactions!$H$6:$H$5000,AGGREGATE(15,6,(ROW(Transactions!$C$6:$C$5000)-ROW(Transactions!$C$6)+1)/(Transactions!$C$6:$C$5000=$B$3),ROWS($A$9:A56))))</f>
        <v/>
      </c>
      <c r="H56">
        <f>IF($A56="","",TEXT($A56,"mmm-yyyy"))</f>
        <v/>
      </c>
      <c r="I56">
        <f>IF($A56="","",$B$3)</f>
        <v/>
      </c>
    </row>
    <row r="57">
      <c r="A57" s="16">
        <f>IFERROR(INDEX(Transactions!$A$6:$A$5000,AGGREGATE(15,6,(ROW(Transactions!$C$6:$C$5000)-ROW(Transactions!$C$6)+1)/(Transactions!$C$6:$C$5000=$B$3),ROWS($A$9:A57))),"")</f>
        <v/>
      </c>
      <c r="B57">
        <f>IF($A57="","",INDEX(Transactions!$B$6:$B$5000,AGGREGATE(15,6,(ROW(Transactions!$C$6:$C$5000)-ROW(Transactions!$C$6)+1)/(Transactions!$C$6:$C$5000=$B$3),ROWS($A$9:A57))))</f>
        <v/>
      </c>
      <c r="C57">
        <f>IF($A57="","",INDEX(Transactions!$E$6:$E$5000,AGGREGATE(15,6,(ROW(Transactions!$C$6:$C$5000)-ROW(Transactions!$C$6)+1)/(Transactions!$C$6:$C$5000=$B$3),ROWS($A$9:A57))))</f>
        <v/>
      </c>
      <c r="D57" s="7">
        <f>IF($A57="","",INDEX(Transactions!$F$6:$F$5000,AGGREGATE(15,6,(ROW(Transactions!$C$6:$C$5000)-ROW(Transactions!$C$6)+1)/(Transactions!$C$6:$C$5000=$B$3),ROWS($A$9:A57))))</f>
        <v/>
      </c>
      <c r="E57" s="7">
        <f>IF($A57="","",INDEX(Transactions!$G$6:$G$5000,AGGREGATE(15,6,(ROW(Transactions!$C$6:$C$5000)-ROW(Transactions!$C$6)+1)/(Transactions!$C$6:$C$5000=$B$3),ROWS($A$9:A57))))</f>
        <v/>
      </c>
      <c r="F57" s="7">
        <f>IF($A57="","",$B$5+SUM($D$9:D57)-SUM($E$9:E57))</f>
        <v/>
      </c>
      <c r="G57">
        <f>IF($A57="","",INDEX(Transactions!$H$6:$H$5000,AGGREGATE(15,6,(ROW(Transactions!$C$6:$C$5000)-ROW(Transactions!$C$6)+1)/(Transactions!$C$6:$C$5000=$B$3),ROWS($A$9:A57))))</f>
        <v/>
      </c>
      <c r="H57">
        <f>IF($A57="","",TEXT($A57,"mmm-yyyy"))</f>
        <v/>
      </c>
      <c r="I57">
        <f>IF($A57="","",$B$3)</f>
        <v/>
      </c>
    </row>
    <row r="58">
      <c r="A58" s="16">
        <f>IFERROR(INDEX(Transactions!$A$6:$A$5000,AGGREGATE(15,6,(ROW(Transactions!$C$6:$C$5000)-ROW(Transactions!$C$6)+1)/(Transactions!$C$6:$C$5000=$B$3),ROWS($A$9:A58))),"")</f>
        <v/>
      </c>
      <c r="B58">
        <f>IF($A58="","",INDEX(Transactions!$B$6:$B$5000,AGGREGATE(15,6,(ROW(Transactions!$C$6:$C$5000)-ROW(Transactions!$C$6)+1)/(Transactions!$C$6:$C$5000=$B$3),ROWS($A$9:A58))))</f>
        <v/>
      </c>
      <c r="C58">
        <f>IF($A58="","",INDEX(Transactions!$E$6:$E$5000,AGGREGATE(15,6,(ROW(Transactions!$C$6:$C$5000)-ROW(Transactions!$C$6)+1)/(Transactions!$C$6:$C$5000=$B$3),ROWS($A$9:A58))))</f>
        <v/>
      </c>
      <c r="D58" s="7">
        <f>IF($A58="","",INDEX(Transactions!$F$6:$F$5000,AGGREGATE(15,6,(ROW(Transactions!$C$6:$C$5000)-ROW(Transactions!$C$6)+1)/(Transactions!$C$6:$C$5000=$B$3),ROWS($A$9:A58))))</f>
        <v/>
      </c>
      <c r="E58" s="7">
        <f>IF($A58="","",INDEX(Transactions!$G$6:$G$5000,AGGREGATE(15,6,(ROW(Transactions!$C$6:$C$5000)-ROW(Transactions!$C$6)+1)/(Transactions!$C$6:$C$5000=$B$3),ROWS($A$9:A58))))</f>
        <v/>
      </c>
      <c r="F58" s="7">
        <f>IF($A58="","",$B$5+SUM($D$9:D58)-SUM($E$9:E58))</f>
        <v/>
      </c>
      <c r="G58">
        <f>IF($A58="","",INDEX(Transactions!$H$6:$H$5000,AGGREGATE(15,6,(ROW(Transactions!$C$6:$C$5000)-ROW(Transactions!$C$6)+1)/(Transactions!$C$6:$C$5000=$B$3),ROWS($A$9:A58))))</f>
        <v/>
      </c>
      <c r="H58">
        <f>IF($A58="","",TEXT($A58,"mmm-yyyy"))</f>
        <v/>
      </c>
      <c r="I58">
        <f>IF($A58="","",$B$3)</f>
        <v/>
      </c>
    </row>
    <row r="59">
      <c r="A59" s="16">
        <f>IFERROR(INDEX(Transactions!$A$6:$A$5000,AGGREGATE(15,6,(ROW(Transactions!$C$6:$C$5000)-ROW(Transactions!$C$6)+1)/(Transactions!$C$6:$C$5000=$B$3),ROWS($A$9:A59))),"")</f>
        <v/>
      </c>
      <c r="B59">
        <f>IF($A59="","",INDEX(Transactions!$B$6:$B$5000,AGGREGATE(15,6,(ROW(Transactions!$C$6:$C$5000)-ROW(Transactions!$C$6)+1)/(Transactions!$C$6:$C$5000=$B$3),ROWS($A$9:A59))))</f>
        <v/>
      </c>
      <c r="C59">
        <f>IF($A59="","",INDEX(Transactions!$E$6:$E$5000,AGGREGATE(15,6,(ROW(Transactions!$C$6:$C$5000)-ROW(Transactions!$C$6)+1)/(Transactions!$C$6:$C$5000=$B$3),ROWS($A$9:A59))))</f>
        <v/>
      </c>
      <c r="D59" s="7">
        <f>IF($A59="","",INDEX(Transactions!$F$6:$F$5000,AGGREGATE(15,6,(ROW(Transactions!$C$6:$C$5000)-ROW(Transactions!$C$6)+1)/(Transactions!$C$6:$C$5000=$B$3),ROWS($A$9:A59))))</f>
        <v/>
      </c>
      <c r="E59" s="7">
        <f>IF($A59="","",INDEX(Transactions!$G$6:$G$5000,AGGREGATE(15,6,(ROW(Transactions!$C$6:$C$5000)-ROW(Transactions!$C$6)+1)/(Transactions!$C$6:$C$5000=$B$3),ROWS($A$9:A59))))</f>
        <v/>
      </c>
      <c r="F59" s="7">
        <f>IF($A59="","",$B$5+SUM($D$9:D59)-SUM($E$9:E59))</f>
        <v/>
      </c>
      <c r="G59">
        <f>IF($A59="","",INDEX(Transactions!$H$6:$H$5000,AGGREGATE(15,6,(ROW(Transactions!$C$6:$C$5000)-ROW(Transactions!$C$6)+1)/(Transactions!$C$6:$C$5000=$B$3),ROWS($A$9:A59))))</f>
        <v/>
      </c>
      <c r="H59">
        <f>IF($A59="","",TEXT($A59,"mmm-yyyy"))</f>
        <v/>
      </c>
      <c r="I59">
        <f>IF($A59="","",$B$3)</f>
        <v/>
      </c>
    </row>
    <row r="60">
      <c r="A60" s="16">
        <f>IFERROR(INDEX(Transactions!$A$6:$A$5000,AGGREGATE(15,6,(ROW(Transactions!$C$6:$C$5000)-ROW(Transactions!$C$6)+1)/(Transactions!$C$6:$C$5000=$B$3),ROWS($A$9:A60))),"")</f>
        <v/>
      </c>
      <c r="B60">
        <f>IF($A60="","",INDEX(Transactions!$B$6:$B$5000,AGGREGATE(15,6,(ROW(Transactions!$C$6:$C$5000)-ROW(Transactions!$C$6)+1)/(Transactions!$C$6:$C$5000=$B$3),ROWS($A$9:A60))))</f>
        <v/>
      </c>
      <c r="C60">
        <f>IF($A60="","",INDEX(Transactions!$E$6:$E$5000,AGGREGATE(15,6,(ROW(Transactions!$C$6:$C$5000)-ROW(Transactions!$C$6)+1)/(Transactions!$C$6:$C$5000=$B$3),ROWS($A$9:A60))))</f>
        <v/>
      </c>
      <c r="D60" s="7">
        <f>IF($A60="","",INDEX(Transactions!$F$6:$F$5000,AGGREGATE(15,6,(ROW(Transactions!$C$6:$C$5000)-ROW(Transactions!$C$6)+1)/(Transactions!$C$6:$C$5000=$B$3),ROWS($A$9:A60))))</f>
        <v/>
      </c>
      <c r="E60" s="7">
        <f>IF($A60="","",INDEX(Transactions!$G$6:$G$5000,AGGREGATE(15,6,(ROW(Transactions!$C$6:$C$5000)-ROW(Transactions!$C$6)+1)/(Transactions!$C$6:$C$5000=$B$3),ROWS($A$9:A60))))</f>
        <v/>
      </c>
      <c r="F60" s="7">
        <f>IF($A60="","",$B$5+SUM($D$9:D60)-SUM($E$9:E60))</f>
        <v/>
      </c>
      <c r="G60">
        <f>IF($A60="","",INDEX(Transactions!$H$6:$H$5000,AGGREGATE(15,6,(ROW(Transactions!$C$6:$C$5000)-ROW(Transactions!$C$6)+1)/(Transactions!$C$6:$C$5000=$B$3),ROWS($A$9:A60))))</f>
        <v/>
      </c>
      <c r="H60">
        <f>IF($A60="","",TEXT($A60,"mmm-yyyy"))</f>
        <v/>
      </c>
      <c r="I60">
        <f>IF($A60="","",$B$3)</f>
        <v/>
      </c>
    </row>
    <row r="61">
      <c r="A61" s="16">
        <f>IFERROR(INDEX(Transactions!$A$6:$A$5000,AGGREGATE(15,6,(ROW(Transactions!$C$6:$C$5000)-ROW(Transactions!$C$6)+1)/(Transactions!$C$6:$C$5000=$B$3),ROWS($A$9:A61))),"")</f>
        <v/>
      </c>
      <c r="B61">
        <f>IF($A61="","",INDEX(Transactions!$B$6:$B$5000,AGGREGATE(15,6,(ROW(Transactions!$C$6:$C$5000)-ROW(Transactions!$C$6)+1)/(Transactions!$C$6:$C$5000=$B$3),ROWS($A$9:A61))))</f>
        <v/>
      </c>
      <c r="C61">
        <f>IF($A61="","",INDEX(Transactions!$E$6:$E$5000,AGGREGATE(15,6,(ROW(Transactions!$C$6:$C$5000)-ROW(Transactions!$C$6)+1)/(Transactions!$C$6:$C$5000=$B$3),ROWS($A$9:A61))))</f>
        <v/>
      </c>
      <c r="D61" s="7">
        <f>IF($A61="","",INDEX(Transactions!$F$6:$F$5000,AGGREGATE(15,6,(ROW(Transactions!$C$6:$C$5000)-ROW(Transactions!$C$6)+1)/(Transactions!$C$6:$C$5000=$B$3),ROWS($A$9:A61))))</f>
        <v/>
      </c>
      <c r="E61" s="7">
        <f>IF($A61="","",INDEX(Transactions!$G$6:$G$5000,AGGREGATE(15,6,(ROW(Transactions!$C$6:$C$5000)-ROW(Transactions!$C$6)+1)/(Transactions!$C$6:$C$5000=$B$3),ROWS($A$9:A61))))</f>
        <v/>
      </c>
      <c r="F61" s="7">
        <f>IF($A61="","",$B$5+SUM($D$9:D61)-SUM($E$9:E61))</f>
        <v/>
      </c>
      <c r="G61">
        <f>IF($A61="","",INDEX(Transactions!$H$6:$H$5000,AGGREGATE(15,6,(ROW(Transactions!$C$6:$C$5000)-ROW(Transactions!$C$6)+1)/(Transactions!$C$6:$C$5000=$B$3),ROWS($A$9:A61))))</f>
        <v/>
      </c>
      <c r="H61">
        <f>IF($A61="","",TEXT($A61,"mmm-yyyy"))</f>
        <v/>
      </c>
      <c r="I61">
        <f>IF($A61="","",$B$3)</f>
        <v/>
      </c>
    </row>
    <row r="62">
      <c r="A62" s="16">
        <f>IFERROR(INDEX(Transactions!$A$6:$A$5000,AGGREGATE(15,6,(ROW(Transactions!$C$6:$C$5000)-ROW(Transactions!$C$6)+1)/(Transactions!$C$6:$C$5000=$B$3),ROWS($A$9:A62))),"")</f>
        <v/>
      </c>
      <c r="B62">
        <f>IF($A62="","",INDEX(Transactions!$B$6:$B$5000,AGGREGATE(15,6,(ROW(Transactions!$C$6:$C$5000)-ROW(Transactions!$C$6)+1)/(Transactions!$C$6:$C$5000=$B$3),ROWS($A$9:A62))))</f>
        <v/>
      </c>
      <c r="C62">
        <f>IF($A62="","",INDEX(Transactions!$E$6:$E$5000,AGGREGATE(15,6,(ROW(Transactions!$C$6:$C$5000)-ROW(Transactions!$C$6)+1)/(Transactions!$C$6:$C$5000=$B$3),ROWS($A$9:A62))))</f>
        <v/>
      </c>
      <c r="D62" s="7">
        <f>IF($A62="","",INDEX(Transactions!$F$6:$F$5000,AGGREGATE(15,6,(ROW(Transactions!$C$6:$C$5000)-ROW(Transactions!$C$6)+1)/(Transactions!$C$6:$C$5000=$B$3),ROWS($A$9:A62))))</f>
        <v/>
      </c>
      <c r="E62" s="7">
        <f>IF($A62="","",INDEX(Transactions!$G$6:$G$5000,AGGREGATE(15,6,(ROW(Transactions!$C$6:$C$5000)-ROW(Transactions!$C$6)+1)/(Transactions!$C$6:$C$5000=$B$3),ROWS($A$9:A62))))</f>
        <v/>
      </c>
      <c r="F62" s="7">
        <f>IF($A62="","",$B$5+SUM($D$9:D62)-SUM($E$9:E62))</f>
        <v/>
      </c>
      <c r="G62">
        <f>IF($A62="","",INDEX(Transactions!$H$6:$H$5000,AGGREGATE(15,6,(ROW(Transactions!$C$6:$C$5000)-ROW(Transactions!$C$6)+1)/(Transactions!$C$6:$C$5000=$B$3),ROWS($A$9:A62))))</f>
        <v/>
      </c>
      <c r="H62">
        <f>IF($A62="","",TEXT($A62,"mmm-yyyy"))</f>
        <v/>
      </c>
      <c r="I62">
        <f>IF($A62="","",$B$3)</f>
        <v/>
      </c>
    </row>
    <row r="63">
      <c r="A63" s="16">
        <f>IFERROR(INDEX(Transactions!$A$6:$A$5000,AGGREGATE(15,6,(ROW(Transactions!$C$6:$C$5000)-ROW(Transactions!$C$6)+1)/(Transactions!$C$6:$C$5000=$B$3),ROWS($A$9:A63))),"")</f>
        <v/>
      </c>
      <c r="B63">
        <f>IF($A63="","",INDEX(Transactions!$B$6:$B$5000,AGGREGATE(15,6,(ROW(Transactions!$C$6:$C$5000)-ROW(Transactions!$C$6)+1)/(Transactions!$C$6:$C$5000=$B$3),ROWS($A$9:A63))))</f>
        <v/>
      </c>
      <c r="C63">
        <f>IF($A63="","",INDEX(Transactions!$E$6:$E$5000,AGGREGATE(15,6,(ROW(Transactions!$C$6:$C$5000)-ROW(Transactions!$C$6)+1)/(Transactions!$C$6:$C$5000=$B$3),ROWS($A$9:A63))))</f>
        <v/>
      </c>
      <c r="D63" s="7">
        <f>IF($A63="","",INDEX(Transactions!$F$6:$F$5000,AGGREGATE(15,6,(ROW(Transactions!$C$6:$C$5000)-ROW(Transactions!$C$6)+1)/(Transactions!$C$6:$C$5000=$B$3),ROWS($A$9:A63))))</f>
        <v/>
      </c>
      <c r="E63" s="7">
        <f>IF($A63="","",INDEX(Transactions!$G$6:$G$5000,AGGREGATE(15,6,(ROW(Transactions!$C$6:$C$5000)-ROW(Transactions!$C$6)+1)/(Transactions!$C$6:$C$5000=$B$3),ROWS($A$9:A63))))</f>
        <v/>
      </c>
      <c r="F63" s="7">
        <f>IF($A63="","",$B$5+SUM($D$9:D63)-SUM($E$9:E63))</f>
        <v/>
      </c>
      <c r="G63">
        <f>IF($A63="","",INDEX(Transactions!$H$6:$H$5000,AGGREGATE(15,6,(ROW(Transactions!$C$6:$C$5000)-ROW(Transactions!$C$6)+1)/(Transactions!$C$6:$C$5000=$B$3),ROWS($A$9:A63))))</f>
        <v/>
      </c>
      <c r="H63">
        <f>IF($A63="","",TEXT($A63,"mmm-yyyy"))</f>
        <v/>
      </c>
      <c r="I63">
        <f>IF($A63="","",$B$3)</f>
        <v/>
      </c>
    </row>
    <row r="64">
      <c r="A64" s="16">
        <f>IFERROR(INDEX(Transactions!$A$6:$A$5000,AGGREGATE(15,6,(ROW(Transactions!$C$6:$C$5000)-ROW(Transactions!$C$6)+1)/(Transactions!$C$6:$C$5000=$B$3),ROWS($A$9:A64))),"")</f>
        <v/>
      </c>
      <c r="B64">
        <f>IF($A64="","",INDEX(Transactions!$B$6:$B$5000,AGGREGATE(15,6,(ROW(Transactions!$C$6:$C$5000)-ROW(Transactions!$C$6)+1)/(Transactions!$C$6:$C$5000=$B$3),ROWS($A$9:A64))))</f>
        <v/>
      </c>
      <c r="C64">
        <f>IF($A64="","",INDEX(Transactions!$E$6:$E$5000,AGGREGATE(15,6,(ROW(Transactions!$C$6:$C$5000)-ROW(Transactions!$C$6)+1)/(Transactions!$C$6:$C$5000=$B$3),ROWS($A$9:A64))))</f>
        <v/>
      </c>
      <c r="D64" s="7">
        <f>IF($A64="","",INDEX(Transactions!$F$6:$F$5000,AGGREGATE(15,6,(ROW(Transactions!$C$6:$C$5000)-ROW(Transactions!$C$6)+1)/(Transactions!$C$6:$C$5000=$B$3),ROWS($A$9:A64))))</f>
        <v/>
      </c>
      <c r="E64" s="7">
        <f>IF($A64="","",INDEX(Transactions!$G$6:$G$5000,AGGREGATE(15,6,(ROW(Transactions!$C$6:$C$5000)-ROW(Transactions!$C$6)+1)/(Transactions!$C$6:$C$5000=$B$3),ROWS($A$9:A64))))</f>
        <v/>
      </c>
      <c r="F64" s="7">
        <f>IF($A64="","",$B$5+SUM($D$9:D64)-SUM($E$9:E64))</f>
        <v/>
      </c>
      <c r="G64">
        <f>IF($A64="","",INDEX(Transactions!$H$6:$H$5000,AGGREGATE(15,6,(ROW(Transactions!$C$6:$C$5000)-ROW(Transactions!$C$6)+1)/(Transactions!$C$6:$C$5000=$B$3),ROWS($A$9:A64))))</f>
        <v/>
      </c>
      <c r="H64">
        <f>IF($A64="","",TEXT($A64,"mmm-yyyy"))</f>
        <v/>
      </c>
      <c r="I64">
        <f>IF($A64="","",$B$3)</f>
        <v/>
      </c>
    </row>
    <row r="65">
      <c r="A65" s="16">
        <f>IFERROR(INDEX(Transactions!$A$6:$A$5000,AGGREGATE(15,6,(ROW(Transactions!$C$6:$C$5000)-ROW(Transactions!$C$6)+1)/(Transactions!$C$6:$C$5000=$B$3),ROWS($A$9:A65))),"")</f>
        <v/>
      </c>
      <c r="B65">
        <f>IF($A65="","",INDEX(Transactions!$B$6:$B$5000,AGGREGATE(15,6,(ROW(Transactions!$C$6:$C$5000)-ROW(Transactions!$C$6)+1)/(Transactions!$C$6:$C$5000=$B$3),ROWS($A$9:A65))))</f>
        <v/>
      </c>
      <c r="C65">
        <f>IF($A65="","",INDEX(Transactions!$E$6:$E$5000,AGGREGATE(15,6,(ROW(Transactions!$C$6:$C$5000)-ROW(Transactions!$C$6)+1)/(Transactions!$C$6:$C$5000=$B$3),ROWS($A$9:A65))))</f>
        <v/>
      </c>
      <c r="D65" s="7">
        <f>IF($A65="","",INDEX(Transactions!$F$6:$F$5000,AGGREGATE(15,6,(ROW(Transactions!$C$6:$C$5000)-ROW(Transactions!$C$6)+1)/(Transactions!$C$6:$C$5000=$B$3),ROWS($A$9:A65))))</f>
        <v/>
      </c>
      <c r="E65" s="7">
        <f>IF($A65="","",INDEX(Transactions!$G$6:$G$5000,AGGREGATE(15,6,(ROW(Transactions!$C$6:$C$5000)-ROW(Transactions!$C$6)+1)/(Transactions!$C$6:$C$5000=$B$3),ROWS($A$9:A65))))</f>
        <v/>
      </c>
      <c r="F65" s="7">
        <f>IF($A65="","",$B$5+SUM($D$9:D65)-SUM($E$9:E65))</f>
        <v/>
      </c>
      <c r="G65">
        <f>IF($A65="","",INDEX(Transactions!$H$6:$H$5000,AGGREGATE(15,6,(ROW(Transactions!$C$6:$C$5000)-ROW(Transactions!$C$6)+1)/(Transactions!$C$6:$C$5000=$B$3),ROWS($A$9:A65))))</f>
        <v/>
      </c>
      <c r="H65">
        <f>IF($A65="","",TEXT($A65,"mmm-yyyy"))</f>
        <v/>
      </c>
      <c r="I65">
        <f>IF($A65="","",$B$3)</f>
        <v/>
      </c>
    </row>
    <row r="66">
      <c r="A66" s="16">
        <f>IFERROR(INDEX(Transactions!$A$6:$A$5000,AGGREGATE(15,6,(ROW(Transactions!$C$6:$C$5000)-ROW(Transactions!$C$6)+1)/(Transactions!$C$6:$C$5000=$B$3),ROWS($A$9:A66))),"")</f>
        <v/>
      </c>
      <c r="B66">
        <f>IF($A66="","",INDEX(Transactions!$B$6:$B$5000,AGGREGATE(15,6,(ROW(Transactions!$C$6:$C$5000)-ROW(Transactions!$C$6)+1)/(Transactions!$C$6:$C$5000=$B$3),ROWS($A$9:A66))))</f>
        <v/>
      </c>
      <c r="C66">
        <f>IF($A66="","",INDEX(Transactions!$E$6:$E$5000,AGGREGATE(15,6,(ROW(Transactions!$C$6:$C$5000)-ROW(Transactions!$C$6)+1)/(Transactions!$C$6:$C$5000=$B$3),ROWS($A$9:A66))))</f>
        <v/>
      </c>
      <c r="D66" s="7">
        <f>IF($A66="","",INDEX(Transactions!$F$6:$F$5000,AGGREGATE(15,6,(ROW(Transactions!$C$6:$C$5000)-ROW(Transactions!$C$6)+1)/(Transactions!$C$6:$C$5000=$B$3),ROWS($A$9:A66))))</f>
        <v/>
      </c>
      <c r="E66" s="7">
        <f>IF($A66="","",INDEX(Transactions!$G$6:$G$5000,AGGREGATE(15,6,(ROW(Transactions!$C$6:$C$5000)-ROW(Transactions!$C$6)+1)/(Transactions!$C$6:$C$5000=$B$3),ROWS($A$9:A66))))</f>
        <v/>
      </c>
      <c r="F66" s="7">
        <f>IF($A66="","",$B$5+SUM($D$9:D66)-SUM($E$9:E66))</f>
        <v/>
      </c>
      <c r="G66">
        <f>IF($A66="","",INDEX(Transactions!$H$6:$H$5000,AGGREGATE(15,6,(ROW(Transactions!$C$6:$C$5000)-ROW(Transactions!$C$6)+1)/(Transactions!$C$6:$C$5000=$B$3),ROWS($A$9:A66))))</f>
        <v/>
      </c>
      <c r="H66">
        <f>IF($A66="","",TEXT($A66,"mmm-yyyy"))</f>
        <v/>
      </c>
      <c r="I66">
        <f>IF($A66="","",$B$3)</f>
        <v/>
      </c>
    </row>
    <row r="67">
      <c r="A67" s="16">
        <f>IFERROR(INDEX(Transactions!$A$6:$A$5000,AGGREGATE(15,6,(ROW(Transactions!$C$6:$C$5000)-ROW(Transactions!$C$6)+1)/(Transactions!$C$6:$C$5000=$B$3),ROWS($A$9:A67))),"")</f>
        <v/>
      </c>
      <c r="B67">
        <f>IF($A67="","",INDEX(Transactions!$B$6:$B$5000,AGGREGATE(15,6,(ROW(Transactions!$C$6:$C$5000)-ROW(Transactions!$C$6)+1)/(Transactions!$C$6:$C$5000=$B$3),ROWS($A$9:A67))))</f>
        <v/>
      </c>
      <c r="C67">
        <f>IF($A67="","",INDEX(Transactions!$E$6:$E$5000,AGGREGATE(15,6,(ROW(Transactions!$C$6:$C$5000)-ROW(Transactions!$C$6)+1)/(Transactions!$C$6:$C$5000=$B$3),ROWS($A$9:A67))))</f>
        <v/>
      </c>
      <c r="D67" s="7">
        <f>IF($A67="","",INDEX(Transactions!$F$6:$F$5000,AGGREGATE(15,6,(ROW(Transactions!$C$6:$C$5000)-ROW(Transactions!$C$6)+1)/(Transactions!$C$6:$C$5000=$B$3),ROWS($A$9:A67))))</f>
        <v/>
      </c>
      <c r="E67" s="7">
        <f>IF($A67="","",INDEX(Transactions!$G$6:$G$5000,AGGREGATE(15,6,(ROW(Transactions!$C$6:$C$5000)-ROW(Transactions!$C$6)+1)/(Transactions!$C$6:$C$5000=$B$3),ROWS($A$9:A67))))</f>
        <v/>
      </c>
      <c r="F67" s="7">
        <f>IF($A67="","",$B$5+SUM($D$9:D67)-SUM($E$9:E67))</f>
        <v/>
      </c>
      <c r="G67">
        <f>IF($A67="","",INDEX(Transactions!$H$6:$H$5000,AGGREGATE(15,6,(ROW(Transactions!$C$6:$C$5000)-ROW(Transactions!$C$6)+1)/(Transactions!$C$6:$C$5000=$B$3),ROWS($A$9:A67))))</f>
        <v/>
      </c>
      <c r="H67">
        <f>IF($A67="","",TEXT($A67,"mmm-yyyy"))</f>
        <v/>
      </c>
      <c r="I67">
        <f>IF($A67="","",$B$3)</f>
        <v/>
      </c>
    </row>
    <row r="68">
      <c r="A68" s="16">
        <f>IFERROR(INDEX(Transactions!$A$6:$A$5000,AGGREGATE(15,6,(ROW(Transactions!$C$6:$C$5000)-ROW(Transactions!$C$6)+1)/(Transactions!$C$6:$C$5000=$B$3),ROWS($A$9:A68))),"")</f>
        <v/>
      </c>
      <c r="B68">
        <f>IF($A68="","",INDEX(Transactions!$B$6:$B$5000,AGGREGATE(15,6,(ROW(Transactions!$C$6:$C$5000)-ROW(Transactions!$C$6)+1)/(Transactions!$C$6:$C$5000=$B$3),ROWS($A$9:A68))))</f>
        <v/>
      </c>
      <c r="C68">
        <f>IF($A68="","",INDEX(Transactions!$E$6:$E$5000,AGGREGATE(15,6,(ROW(Transactions!$C$6:$C$5000)-ROW(Transactions!$C$6)+1)/(Transactions!$C$6:$C$5000=$B$3),ROWS($A$9:A68))))</f>
        <v/>
      </c>
      <c r="D68" s="7">
        <f>IF($A68="","",INDEX(Transactions!$F$6:$F$5000,AGGREGATE(15,6,(ROW(Transactions!$C$6:$C$5000)-ROW(Transactions!$C$6)+1)/(Transactions!$C$6:$C$5000=$B$3),ROWS($A$9:A68))))</f>
        <v/>
      </c>
      <c r="E68" s="7">
        <f>IF($A68="","",INDEX(Transactions!$G$6:$G$5000,AGGREGATE(15,6,(ROW(Transactions!$C$6:$C$5000)-ROW(Transactions!$C$6)+1)/(Transactions!$C$6:$C$5000=$B$3),ROWS($A$9:A68))))</f>
        <v/>
      </c>
      <c r="F68" s="7">
        <f>IF($A68="","",$B$5+SUM($D$9:D68)-SUM($E$9:E68))</f>
        <v/>
      </c>
      <c r="G68">
        <f>IF($A68="","",INDEX(Transactions!$H$6:$H$5000,AGGREGATE(15,6,(ROW(Transactions!$C$6:$C$5000)-ROW(Transactions!$C$6)+1)/(Transactions!$C$6:$C$5000=$B$3),ROWS($A$9:A68))))</f>
        <v/>
      </c>
      <c r="H68">
        <f>IF($A68="","",TEXT($A68,"mmm-yyyy"))</f>
        <v/>
      </c>
      <c r="I68">
        <f>IF($A68="","",$B$3)</f>
        <v/>
      </c>
    </row>
    <row r="69">
      <c r="A69" s="16">
        <f>IFERROR(INDEX(Transactions!$A$6:$A$5000,AGGREGATE(15,6,(ROW(Transactions!$C$6:$C$5000)-ROW(Transactions!$C$6)+1)/(Transactions!$C$6:$C$5000=$B$3),ROWS($A$9:A69))),"")</f>
        <v/>
      </c>
      <c r="B69">
        <f>IF($A69="","",INDEX(Transactions!$B$6:$B$5000,AGGREGATE(15,6,(ROW(Transactions!$C$6:$C$5000)-ROW(Transactions!$C$6)+1)/(Transactions!$C$6:$C$5000=$B$3),ROWS($A$9:A69))))</f>
        <v/>
      </c>
      <c r="C69">
        <f>IF($A69="","",INDEX(Transactions!$E$6:$E$5000,AGGREGATE(15,6,(ROW(Transactions!$C$6:$C$5000)-ROW(Transactions!$C$6)+1)/(Transactions!$C$6:$C$5000=$B$3),ROWS($A$9:A69))))</f>
        <v/>
      </c>
      <c r="D69" s="7">
        <f>IF($A69="","",INDEX(Transactions!$F$6:$F$5000,AGGREGATE(15,6,(ROW(Transactions!$C$6:$C$5000)-ROW(Transactions!$C$6)+1)/(Transactions!$C$6:$C$5000=$B$3),ROWS($A$9:A69))))</f>
        <v/>
      </c>
      <c r="E69" s="7">
        <f>IF($A69="","",INDEX(Transactions!$G$6:$G$5000,AGGREGATE(15,6,(ROW(Transactions!$C$6:$C$5000)-ROW(Transactions!$C$6)+1)/(Transactions!$C$6:$C$5000=$B$3),ROWS($A$9:A69))))</f>
        <v/>
      </c>
      <c r="F69" s="7">
        <f>IF($A69="","",$B$5+SUM($D$9:D69)-SUM($E$9:E69))</f>
        <v/>
      </c>
      <c r="G69">
        <f>IF($A69="","",INDEX(Transactions!$H$6:$H$5000,AGGREGATE(15,6,(ROW(Transactions!$C$6:$C$5000)-ROW(Transactions!$C$6)+1)/(Transactions!$C$6:$C$5000=$B$3),ROWS($A$9:A69))))</f>
        <v/>
      </c>
      <c r="H69">
        <f>IF($A69="","",TEXT($A69,"mmm-yyyy"))</f>
        <v/>
      </c>
      <c r="I69">
        <f>IF($A69="","",$B$3)</f>
        <v/>
      </c>
    </row>
    <row r="70">
      <c r="A70" s="16">
        <f>IFERROR(INDEX(Transactions!$A$6:$A$5000,AGGREGATE(15,6,(ROW(Transactions!$C$6:$C$5000)-ROW(Transactions!$C$6)+1)/(Transactions!$C$6:$C$5000=$B$3),ROWS($A$9:A70))),"")</f>
        <v/>
      </c>
      <c r="B70">
        <f>IF($A70="","",INDEX(Transactions!$B$6:$B$5000,AGGREGATE(15,6,(ROW(Transactions!$C$6:$C$5000)-ROW(Transactions!$C$6)+1)/(Transactions!$C$6:$C$5000=$B$3),ROWS($A$9:A70))))</f>
        <v/>
      </c>
      <c r="C70">
        <f>IF($A70="","",INDEX(Transactions!$E$6:$E$5000,AGGREGATE(15,6,(ROW(Transactions!$C$6:$C$5000)-ROW(Transactions!$C$6)+1)/(Transactions!$C$6:$C$5000=$B$3),ROWS($A$9:A70))))</f>
        <v/>
      </c>
      <c r="D70" s="7">
        <f>IF($A70="","",INDEX(Transactions!$F$6:$F$5000,AGGREGATE(15,6,(ROW(Transactions!$C$6:$C$5000)-ROW(Transactions!$C$6)+1)/(Transactions!$C$6:$C$5000=$B$3),ROWS($A$9:A70))))</f>
        <v/>
      </c>
      <c r="E70" s="7">
        <f>IF($A70="","",INDEX(Transactions!$G$6:$G$5000,AGGREGATE(15,6,(ROW(Transactions!$C$6:$C$5000)-ROW(Transactions!$C$6)+1)/(Transactions!$C$6:$C$5000=$B$3),ROWS($A$9:A70))))</f>
        <v/>
      </c>
      <c r="F70" s="7">
        <f>IF($A70="","",$B$5+SUM($D$9:D70)-SUM($E$9:E70))</f>
        <v/>
      </c>
      <c r="G70">
        <f>IF($A70="","",INDEX(Transactions!$H$6:$H$5000,AGGREGATE(15,6,(ROW(Transactions!$C$6:$C$5000)-ROW(Transactions!$C$6)+1)/(Transactions!$C$6:$C$5000=$B$3),ROWS($A$9:A70))))</f>
        <v/>
      </c>
      <c r="H70">
        <f>IF($A70="","",TEXT($A70,"mmm-yyyy"))</f>
        <v/>
      </c>
      <c r="I70">
        <f>IF($A70="","",$B$3)</f>
        <v/>
      </c>
    </row>
    <row r="71">
      <c r="A71" s="16">
        <f>IFERROR(INDEX(Transactions!$A$6:$A$5000,AGGREGATE(15,6,(ROW(Transactions!$C$6:$C$5000)-ROW(Transactions!$C$6)+1)/(Transactions!$C$6:$C$5000=$B$3),ROWS($A$9:A71))),"")</f>
        <v/>
      </c>
      <c r="B71">
        <f>IF($A71="","",INDEX(Transactions!$B$6:$B$5000,AGGREGATE(15,6,(ROW(Transactions!$C$6:$C$5000)-ROW(Transactions!$C$6)+1)/(Transactions!$C$6:$C$5000=$B$3),ROWS($A$9:A71))))</f>
        <v/>
      </c>
      <c r="C71">
        <f>IF($A71="","",INDEX(Transactions!$E$6:$E$5000,AGGREGATE(15,6,(ROW(Transactions!$C$6:$C$5000)-ROW(Transactions!$C$6)+1)/(Transactions!$C$6:$C$5000=$B$3),ROWS($A$9:A71))))</f>
        <v/>
      </c>
      <c r="D71" s="7">
        <f>IF($A71="","",INDEX(Transactions!$F$6:$F$5000,AGGREGATE(15,6,(ROW(Transactions!$C$6:$C$5000)-ROW(Transactions!$C$6)+1)/(Transactions!$C$6:$C$5000=$B$3),ROWS($A$9:A71))))</f>
        <v/>
      </c>
      <c r="E71" s="7">
        <f>IF($A71="","",INDEX(Transactions!$G$6:$G$5000,AGGREGATE(15,6,(ROW(Transactions!$C$6:$C$5000)-ROW(Transactions!$C$6)+1)/(Transactions!$C$6:$C$5000=$B$3),ROWS($A$9:A71))))</f>
        <v/>
      </c>
      <c r="F71" s="7">
        <f>IF($A71="","",$B$5+SUM($D$9:D71)-SUM($E$9:E71))</f>
        <v/>
      </c>
      <c r="G71">
        <f>IF($A71="","",INDEX(Transactions!$H$6:$H$5000,AGGREGATE(15,6,(ROW(Transactions!$C$6:$C$5000)-ROW(Transactions!$C$6)+1)/(Transactions!$C$6:$C$5000=$B$3),ROWS($A$9:A71))))</f>
        <v/>
      </c>
      <c r="H71">
        <f>IF($A71="","",TEXT($A71,"mmm-yyyy"))</f>
        <v/>
      </c>
      <c r="I71">
        <f>IF($A71="","",$B$3)</f>
        <v/>
      </c>
    </row>
    <row r="72">
      <c r="A72" s="16">
        <f>IFERROR(INDEX(Transactions!$A$6:$A$5000,AGGREGATE(15,6,(ROW(Transactions!$C$6:$C$5000)-ROW(Transactions!$C$6)+1)/(Transactions!$C$6:$C$5000=$B$3),ROWS($A$9:A72))),"")</f>
        <v/>
      </c>
      <c r="B72">
        <f>IF($A72="","",INDEX(Transactions!$B$6:$B$5000,AGGREGATE(15,6,(ROW(Transactions!$C$6:$C$5000)-ROW(Transactions!$C$6)+1)/(Transactions!$C$6:$C$5000=$B$3),ROWS($A$9:A72))))</f>
        <v/>
      </c>
      <c r="C72">
        <f>IF($A72="","",INDEX(Transactions!$E$6:$E$5000,AGGREGATE(15,6,(ROW(Transactions!$C$6:$C$5000)-ROW(Transactions!$C$6)+1)/(Transactions!$C$6:$C$5000=$B$3),ROWS($A$9:A72))))</f>
        <v/>
      </c>
      <c r="D72" s="7">
        <f>IF($A72="","",INDEX(Transactions!$F$6:$F$5000,AGGREGATE(15,6,(ROW(Transactions!$C$6:$C$5000)-ROW(Transactions!$C$6)+1)/(Transactions!$C$6:$C$5000=$B$3),ROWS($A$9:A72))))</f>
        <v/>
      </c>
      <c r="E72" s="7">
        <f>IF($A72="","",INDEX(Transactions!$G$6:$G$5000,AGGREGATE(15,6,(ROW(Transactions!$C$6:$C$5000)-ROW(Transactions!$C$6)+1)/(Transactions!$C$6:$C$5000=$B$3),ROWS($A$9:A72))))</f>
        <v/>
      </c>
      <c r="F72" s="7">
        <f>IF($A72="","",$B$5+SUM($D$9:D72)-SUM($E$9:E72))</f>
        <v/>
      </c>
      <c r="G72">
        <f>IF($A72="","",INDEX(Transactions!$H$6:$H$5000,AGGREGATE(15,6,(ROW(Transactions!$C$6:$C$5000)-ROW(Transactions!$C$6)+1)/(Transactions!$C$6:$C$5000=$B$3),ROWS($A$9:A72))))</f>
        <v/>
      </c>
      <c r="H72">
        <f>IF($A72="","",TEXT($A72,"mmm-yyyy"))</f>
        <v/>
      </c>
      <c r="I72">
        <f>IF($A72="","",$B$3)</f>
        <v/>
      </c>
    </row>
    <row r="73">
      <c r="A73" s="16">
        <f>IFERROR(INDEX(Transactions!$A$6:$A$5000,AGGREGATE(15,6,(ROW(Transactions!$C$6:$C$5000)-ROW(Transactions!$C$6)+1)/(Transactions!$C$6:$C$5000=$B$3),ROWS($A$9:A73))),"")</f>
        <v/>
      </c>
      <c r="B73">
        <f>IF($A73="","",INDEX(Transactions!$B$6:$B$5000,AGGREGATE(15,6,(ROW(Transactions!$C$6:$C$5000)-ROW(Transactions!$C$6)+1)/(Transactions!$C$6:$C$5000=$B$3),ROWS($A$9:A73))))</f>
        <v/>
      </c>
      <c r="C73">
        <f>IF($A73="","",INDEX(Transactions!$E$6:$E$5000,AGGREGATE(15,6,(ROW(Transactions!$C$6:$C$5000)-ROW(Transactions!$C$6)+1)/(Transactions!$C$6:$C$5000=$B$3),ROWS($A$9:A73))))</f>
        <v/>
      </c>
      <c r="D73" s="7">
        <f>IF($A73="","",INDEX(Transactions!$F$6:$F$5000,AGGREGATE(15,6,(ROW(Transactions!$C$6:$C$5000)-ROW(Transactions!$C$6)+1)/(Transactions!$C$6:$C$5000=$B$3),ROWS($A$9:A73))))</f>
        <v/>
      </c>
      <c r="E73" s="7">
        <f>IF($A73="","",INDEX(Transactions!$G$6:$G$5000,AGGREGATE(15,6,(ROW(Transactions!$C$6:$C$5000)-ROW(Transactions!$C$6)+1)/(Transactions!$C$6:$C$5000=$B$3),ROWS($A$9:A73))))</f>
        <v/>
      </c>
      <c r="F73" s="7">
        <f>IF($A73="","",$B$5+SUM($D$9:D73)-SUM($E$9:E73))</f>
        <v/>
      </c>
      <c r="G73">
        <f>IF($A73="","",INDEX(Transactions!$H$6:$H$5000,AGGREGATE(15,6,(ROW(Transactions!$C$6:$C$5000)-ROW(Transactions!$C$6)+1)/(Transactions!$C$6:$C$5000=$B$3),ROWS($A$9:A73))))</f>
        <v/>
      </c>
      <c r="H73">
        <f>IF($A73="","",TEXT($A73,"mmm-yyyy"))</f>
        <v/>
      </c>
      <c r="I73">
        <f>IF($A73="","",$B$3)</f>
        <v/>
      </c>
    </row>
    <row r="74">
      <c r="A74" s="16">
        <f>IFERROR(INDEX(Transactions!$A$6:$A$5000,AGGREGATE(15,6,(ROW(Transactions!$C$6:$C$5000)-ROW(Transactions!$C$6)+1)/(Transactions!$C$6:$C$5000=$B$3),ROWS($A$9:A74))),"")</f>
        <v/>
      </c>
      <c r="B74">
        <f>IF($A74="","",INDEX(Transactions!$B$6:$B$5000,AGGREGATE(15,6,(ROW(Transactions!$C$6:$C$5000)-ROW(Transactions!$C$6)+1)/(Transactions!$C$6:$C$5000=$B$3),ROWS($A$9:A74))))</f>
        <v/>
      </c>
      <c r="C74">
        <f>IF($A74="","",INDEX(Transactions!$E$6:$E$5000,AGGREGATE(15,6,(ROW(Transactions!$C$6:$C$5000)-ROW(Transactions!$C$6)+1)/(Transactions!$C$6:$C$5000=$B$3),ROWS($A$9:A74))))</f>
        <v/>
      </c>
      <c r="D74" s="7">
        <f>IF($A74="","",INDEX(Transactions!$F$6:$F$5000,AGGREGATE(15,6,(ROW(Transactions!$C$6:$C$5000)-ROW(Transactions!$C$6)+1)/(Transactions!$C$6:$C$5000=$B$3),ROWS($A$9:A74))))</f>
        <v/>
      </c>
      <c r="E74" s="7">
        <f>IF($A74="","",INDEX(Transactions!$G$6:$G$5000,AGGREGATE(15,6,(ROW(Transactions!$C$6:$C$5000)-ROW(Transactions!$C$6)+1)/(Transactions!$C$6:$C$5000=$B$3),ROWS($A$9:A74))))</f>
        <v/>
      </c>
      <c r="F74" s="7">
        <f>IF($A74="","",$B$5+SUM($D$9:D74)-SUM($E$9:E74))</f>
        <v/>
      </c>
      <c r="G74">
        <f>IF($A74="","",INDEX(Transactions!$H$6:$H$5000,AGGREGATE(15,6,(ROW(Transactions!$C$6:$C$5000)-ROW(Transactions!$C$6)+1)/(Transactions!$C$6:$C$5000=$B$3),ROWS($A$9:A74))))</f>
        <v/>
      </c>
      <c r="H74">
        <f>IF($A74="","",TEXT($A74,"mmm-yyyy"))</f>
        <v/>
      </c>
      <c r="I74">
        <f>IF($A74="","",$B$3)</f>
        <v/>
      </c>
    </row>
    <row r="75">
      <c r="A75" s="16">
        <f>IFERROR(INDEX(Transactions!$A$6:$A$5000,AGGREGATE(15,6,(ROW(Transactions!$C$6:$C$5000)-ROW(Transactions!$C$6)+1)/(Transactions!$C$6:$C$5000=$B$3),ROWS($A$9:A75))),"")</f>
        <v/>
      </c>
      <c r="B75">
        <f>IF($A75="","",INDEX(Transactions!$B$6:$B$5000,AGGREGATE(15,6,(ROW(Transactions!$C$6:$C$5000)-ROW(Transactions!$C$6)+1)/(Transactions!$C$6:$C$5000=$B$3),ROWS($A$9:A75))))</f>
        <v/>
      </c>
      <c r="C75">
        <f>IF($A75="","",INDEX(Transactions!$E$6:$E$5000,AGGREGATE(15,6,(ROW(Transactions!$C$6:$C$5000)-ROW(Transactions!$C$6)+1)/(Transactions!$C$6:$C$5000=$B$3),ROWS($A$9:A75))))</f>
        <v/>
      </c>
      <c r="D75" s="7">
        <f>IF($A75="","",INDEX(Transactions!$F$6:$F$5000,AGGREGATE(15,6,(ROW(Transactions!$C$6:$C$5000)-ROW(Transactions!$C$6)+1)/(Transactions!$C$6:$C$5000=$B$3),ROWS($A$9:A75))))</f>
        <v/>
      </c>
      <c r="E75" s="7">
        <f>IF($A75="","",INDEX(Transactions!$G$6:$G$5000,AGGREGATE(15,6,(ROW(Transactions!$C$6:$C$5000)-ROW(Transactions!$C$6)+1)/(Transactions!$C$6:$C$5000=$B$3),ROWS($A$9:A75))))</f>
        <v/>
      </c>
      <c r="F75" s="7">
        <f>IF($A75="","",$B$5+SUM($D$9:D75)-SUM($E$9:E75))</f>
        <v/>
      </c>
      <c r="G75">
        <f>IF($A75="","",INDEX(Transactions!$H$6:$H$5000,AGGREGATE(15,6,(ROW(Transactions!$C$6:$C$5000)-ROW(Transactions!$C$6)+1)/(Transactions!$C$6:$C$5000=$B$3),ROWS($A$9:A75))))</f>
        <v/>
      </c>
      <c r="H75">
        <f>IF($A75="","",TEXT($A75,"mmm-yyyy"))</f>
        <v/>
      </c>
      <c r="I75">
        <f>IF($A75="","",$B$3)</f>
        <v/>
      </c>
    </row>
    <row r="76">
      <c r="A76" s="16">
        <f>IFERROR(INDEX(Transactions!$A$6:$A$5000,AGGREGATE(15,6,(ROW(Transactions!$C$6:$C$5000)-ROW(Transactions!$C$6)+1)/(Transactions!$C$6:$C$5000=$B$3),ROWS($A$9:A76))),"")</f>
        <v/>
      </c>
      <c r="B76">
        <f>IF($A76="","",INDEX(Transactions!$B$6:$B$5000,AGGREGATE(15,6,(ROW(Transactions!$C$6:$C$5000)-ROW(Transactions!$C$6)+1)/(Transactions!$C$6:$C$5000=$B$3),ROWS($A$9:A76))))</f>
        <v/>
      </c>
      <c r="C76">
        <f>IF($A76="","",INDEX(Transactions!$E$6:$E$5000,AGGREGATE(15,6,(ROW(Transactions!$C$6:$C$5000)-ROW(Transactions!$C$6)+1)/(Transactions!$C$6:$C$5000=$B$3),ROWS($A$9:A76))))</f>
        <v/>
      </c>
      <c r="D76" s="7">
        <f>IF($A76="","",INDEX(Transactions!$F$6:$F$5000,AGGREGATE(15,6,(ROW(Transactions!$C$6:$C$5000)-ROW(Transactions!$C$6)+1)/(Transactions!$C$6:$C$5000=$B$3),ROWS($A$9:A76))))</f>
        <v/>
      </c>
      <c r="E76" s="7">
        <f>IF($A76="","",INDEX(Transactions!$G$6:$G$5000,AGGREGATE(15,6,(ROW(Transactions!$C$6:$C$5000)-ROW(Transactions!$C$6)+1)/(Transactions!$C$6:$C$5000=$B$3),ROWS($A$9:A76))))</f>
        <v/>
      </c>
      <c r="F76" s="7">
        <f>IF($A76="","",$B$5+SUM($D$9:D76)-SUM($E$9:E76))</f>
        <v/>
      </c>
      <c r="G76">
        <f>IF($A76="","",INDEX(Transactions!$H$6:$H$5000,AGGREGATE(15,6,(ROW(Transactions!$C$6:$C$5000)-ROW(Transactions!$C$6)+1)/(Transactions!$C$6:$C$5000=$B$3),ROWS($A$9:A76))))</f>
        <v/>
      </c>
      <c r="H76">
        <f>IF($A76="","",TEXT($A76,"mmm-yyyy"))</f>
        <v/>
      </c>
      <c r="I76">
        <f>IF($A76="","",$B$3)</f>
        <v/>
      </c>
    </row>
    <row r="77">
      <c r="A77" s="16">
        <f>IFERROR(INDEX(Transactions!$A$6:$A$5000,AGGREGATE(15,6,(ROW(Transactions!$C$6:$C$5000)-ROW(Transactions!$C$6)+1)/(Transactions!$C$6:$C$5000=$B$3),ROWS($A$9:A77))),"")</f>
        <v/>
      </c>
      <c r="B77">
        <f>IF($A77="","",INDEX(Transactions!$B$6:$B$5000,AGGREGATE(15,6,(ROW(Transactions!$C$6:$C$5000)-ROW(Transactions!$C$6)+1)/(Transactions!$C$6:$C$5000=$B$3),ROWS($A$9:A77))))</f>
        <v/>
      </c>
      <c r="C77">
        <f>IF($A77="","",INDEX(Transactions!$E$6:$E$5000,AGGREGATE(15,6,(ROW(Transactions!$C$6:$C$5000)-ROW(Transactions!$C$6)+1)/(Transactions!$C$6:$C$5000=$B$3),ROWS($A$9:A77))))</f>
        <v/>
      </c>
      <c r="D77" s="7">
        <f>IF($A77="","",INDEX(Transactions!$F$6:$F$5000,AGGREGATE(15,6,(ROW(Transactions!$C$6:$C$5000)-ROW(Transactions!$C$6)+1)/(Transactions!$C$6:$C$5000=$B$3),ROWS($A$9:A77))))</f>
        <v/>
      </c>
      <c r="E77" s="7">
        <f>IF($A77="","",INDEX(Transactions!$G$6:$G$5000,AGGREGATE(15,6,(ROW(Transactions!$C$6:$C$5000)-ROW(Transactions!$C$6)+1)/(Transactions!$C$6:$C$5000=$B$3),ROWS($A$9:A77))))</f>
        <v/>
      </c>
      <c r="F77" s="7">
        <f>IF($A77="","",$B$5+SUM($D$9:D77)-SUM($E$9:E77))</f>
        <v/>
      </c>
      <c r="G77">
        <f>IF($A77="","",INDEX(Transactions!$H$6:$H$5000,AGGREGATE(15,6,(ROW(Transactions!$C$6:$C$5000)-ROW(Transactions!$C$6)+1)/(Transactions!$C$6:$C$5000=$B$3),ROWS($A$9:A77))))</f>
        <v/>
      </c>
      <c r="H77">
        <f>IF($A77="","",TEXT($A77,"mmm-yyyy"))</f>
        <v/>
      </c>
      <c r="I77">
        <f>IF($A77="","",$B$3)</f>
        <v/>
      </c>
    </row>
    <row r="78">
      <c r="A78" s="16">
        <f>IFERROR(INDEX(Transactions!$A$6:$A$5000,AGGREGATE(15,6,(ROW(Transactions!$C$6:$C$5000)-ROW(Transactions!$C$6)+1)/(Transactions!$C$6:$C$5000=$B$3),ROWS($A$9:A78))),"")</f>
        <v/>
      </c>
      <c r="B78">
        <f>IF($A78="","",INDEX(Transactions!$B$6:$B$5000,AGGREGATE(15,6,(ROW(Transactions!$C$6:$C$5000)-ROW(Transactions!$C$6)+1)/(Transactions!$C$6:$C$5000=$B$3),ROWS($A$9:A78))))</f>
        <v/>
      </c>
      <c r="C78">
        <f>IF($A78="","",INDEX(Transactions!$E$6:$E$5000,AGGREGATE(15,6,(ROW(Transactions!$C$6:$C$5000)-ROW(Transactions!$C$6)+1)/(Transactions!$C$6:$C$5000=$B$3),ROWS($A$9:A78))))</f>
        <v/>
      </c>
      <c r="D78" s="7">
        <f>IF($A78="","",INDEX(Transactions!$F$6:$F$5000,AGGREGATE(15,6,(ROW(Transactions!$C$6:$C$5000)-ROW(Transactions!$C$6)+1)/(Transactions!$C$6:$C$5000=$B$3),ROWS($A$9:A78))))</f>
        <v/>
      </c>
      <c r="E78" s="7">
        <f>IF($A78="","",INDEX(Transactions!$G$6:$G$5000,AGGREGATE(15,6,(ROW(Transactions!$C$6:$C$5000)-ROW(Transactions!$C$6)+1)/(Transactions!$C$6:$C$5000=$B$3),ROWS($A$9:A78))))</f>
        <v/>
      </c>
      <c r="F78" s="7">
        <f>IF($A78="","",$B$5+SUM($D$9:D78)-SUM($E$9:E78))</f>
        <v/>
      </c>
      <c r="G78">
        <f>IF($A78="","",INDEX(Transactions!$H$6:$H$5000,AGGREGATE(15,6,(ROW(Transactions!$C$6:$C$5000)-ROW(Transactions!$C$6)+1)/(Transactions!$C$6:$C$5000=$B$3),ROWS($A$9:A78))))</f>
        <v/>
      </c>
      <c r="H78">
        <f>IF($A78="","",TEXT($A78,"mmm-yyyy"))</f>
        <v/>
      </c>
      <c r="I78">
        <f>IF($A78="","",$B$3)</f>
        <v/>
      </c>
    </row>
    <row r="79">
      <c r="A79" s="16">
        <f>IFERROR(INDEX(Transactions!$A$6:$A$5000,AGGREGATE(15,6,(ROW(Transactions!$C$6:$C$5000)-ROW(Transactions!$C$6)+1)/(Transactions!$C$6:$C$5000=$B$3),ROWS($A$9:A79))),"")</f>
        <v/>
      </c>
      <c r="B79">
        <f>IF($A79="","",INDEX(Transactions!$B$6:$B$5000,AGGREGATE(15,6,(ROW(Transactions!$C$6:$C$5000)-ROW(Transactions!$C$6)+1)/(Transactions!$C$6:$C$5000=$B$3),ROWS($A$9:A79))))</f>
        <v/>
      </c>
      <c r="C79">
        <f>IF($A79="","",INDEX(Transactions!$E$6:$E$5000,AGGREGATE(15,6,(ROW(Transactions!$C$6:$C$5000)-ROW(Transactions!$C$6)+1)/(Transactions!$C$6:$C$5000=$B$3),ROWS($A$9:A79))))</f>
        <v/>
      </c>
      <c r="D79" s="7">
        <f>IF($A79="","",INDEX(Transactions!$F$6:$F$5000,AGGREGATE(15,6,(ROW(Transactions!$C$6:$C$5000)-ROW(Transactions!$C$6)+1)/(Transactions!$C$6:$C$5000=$B$3),ROWS($A$9:A79))))</f>
        <v/>
      </c>
      <c r="E79" s="7">
        <f>IF($A79="","",INDEX(Transactions!$G$6:$G$5000,AGGREGATE(15,6,(ROW(Transactions!$C$6:$C$5000)-ROW(Transactions!$C$6)+1)/(Transactions!$C$6:$C$5000=$B$3),ROWS($A$9:A79))))</f>
        <v/>
      </c>
      <c r="F79" s="7">
        <f>IF($A79="","",$B$5+SUM($D$9:D79)-SUM($E$9:E79))</f>
        <v/>
      </c>
      <c r="G79">
        <f>IF($A79="","",INDEX(Transactions!$H$6:$H$5000,AGGREGATE(15,6,(ROW(Transactions!$C$6:$C$5000)-ROW(Transactions!$C$6)+1)/(Transactions!$C$6:$C$5000=$B$3),ROWS($A$9:A79))))</f>
        <v/>
      </c>
      <c r="H79">
        <f>IF($A79="","",TEXT($A79,"mmm-yyyy"))</f>
        <v/>
      </c>
      <c r="I79">
        <f>IF($A79="","",$B$3)</f>
        <v/>
      </c>
    </row>
    <row r="80">
      <c r="A80" s="16">
        <f>IFERROR(INDEX(Transactions!$A$6:$A$5000,AGGREGATE(15,6,(ROW(Transactions!$C$6:$C$5000)-ROW(Transactions!$C$6)+1)/(Transactions!$C$6:$C$5000=$B$3),ROWS($A$9:A80))),"")</f>
        <v/>
      </c>
      <c r="B80">
        <f>IF($A80="","",INDEX(Transactions!$B$6:$B$5000,AGGREGATE(15,6,(ROW(Transactions!$C$6:$C$5000)-ROW(Transactions!$C$6)+1)/(Transactions!$C$6:$C$5000=$B$3),ROWS($A$9:A80))))</f>
        <v/>
      </c>
      <c r="C80">
        <f>IF($A80="","",INDEX(Transactions!$E$6:$E$5000,AGGREGATE(15,6,(ROW(Transactions!$C$6:$C$5000)-ROW(Transactions!$C$6)+1)/(Transactions!$C$6:$C$5000=$B$3),ROWS($A$9:A80))))</f>
        <v/>
      </c>
      <c r="D80" s="7">
        <f>IF($A80="","",INDEX(Transactions!$F$6:$F$5000,AGGREGATE(15,6,(ROW(Transactions!$C$6:$C$5000)-ROW(Transactions!$C$6)+1)/(Transactions!$C$6:$C$5000=$B$3),ROWS($A$9:A80))))</f>
        <v/>
      </c>
      <c r="E80" s="7">
        <f>IF($A80="","",INDEX(Transactions!$G$6:$G$5000,AGGREGATE(15,6,(ROW(Transactions!$C$6:$C$5000)-ROW(Transactions!$C$6)+1)/(Transactions!$C$6:$C$5000=$B$3),ROWS($A$9:A80))))</f>
        <v/>
      </c>
      <c r="F80" s="7">
        <f>IF($A80="","",$B$5+SUM($D$9:D80)-SUM($E$9:E80))</f>
        <v/>
      </c>
      <c r="G80">
        <f>IF($A80="","",INDEX(Transactions!$H$6:$H$5000,AGGREGATE(15,6,(ROW(Transactions!$C$6:$C$5000)-ROW(Transactions!$C$6)+1)/(Transactions!$C$6:$C$5000=$B$3),ROWS($A$9:A80))))</f>
        <v/>
      </c>
      <c r="H80">
        <f>IF($A80="","",TEXT($A80,"mmm-yyyy"))</f>
        <v/>
      </c>
      <c r="I80">
        <f>IF($A80="","",$B$3)</f>
        <v/>
      </c>
    </row>
    <row r="81">
      <c r="A81" s="16">
        <f>IFERROR(INDEX(Transactions!$A$6:$A$5000,AGGREGATE(15,6,(ROW(Transactions!$C$6:$C$5000)-ROW(Transactions!$C$6)+1)/(Transactions!$C$6:$C$5000=$B$3),ROWS($A$9:A81))),"")</f>
        <v/>
      </c>
      <c r="B81">
        <f>IF($A81="","",INDEX(Transactions!$B$6:$B$5000,AGGREGATE(15,6,(ROW(Transactions!$C$6:$C$5000)-ROW(Transactions!$C$6)+1)/(Transactions!$C$6:$C$5000=$B$3),ROWS($A$9:A81))))</f>
        <v/>
      </c>
      <c r="C81">
        <f>IF($A81="","",INDEX(Transactions!$E$6:$E$5000,AGGREGATE(15,6,(ROW(Transactions!$C$6:$C$5000)-ROW(Transactions!$C$6)+1)/(Transactions!$C$6:$C$5000=$B$3),ROWS($A$9:A81))))</f>
        <v/>
      </c>
      <c r="D81" s="7">
        <f>IF($A81="","",INDEX(Transactions!$F$6:$F$5000,AGGREGATE(15,6,(ROW(Transactions!$C$6:$C$5000)-ROW(Transactions!$C$6)+1)/(Transactions!$C$6:$C$5000=$B$3),ROWS($A$9:A81))))</f>
        <v/>
      </c>
      <c r="E81" s="7">
        <f>IF($A81="","",INDEX(Transactions!$G$6:$G$5000,AGGREGATE(15,6,(ROW(Transactions!$C$6:$C$5000)-ROW(Transactions!$C$6)+1)/(Transactions!$C$6:$C$5000=$B$3),ROWS($A$9:A81))))</f>
        <v/>
      </c>
      <c r="F81" s="7">
        <f>IF($A81="","",$B$5+SUM($D$9:D81)-SUM($E$9:E81))</f>
        <v/>
      </c>
      <c r="G81">
        <f>IF($A81="","",INDEX(Transactions!$H$6:$H$5000,AGGREGATE(15,6,(ROW(Transactions!$C$6:$C$5000)-ROW(Transactions!$C$6)+1)/(Transactions!$C$6:$C$5000=$B$3),ROWS($A$9:A81))))</f>
        <v/>
      </c>
      <c r="H81">
        <f>IF($A81="","",TEXT($A81,"mmm-yyyy"))</f>
        <v/>
      </c>
      <c r="I81">
        <f>IF($A81="","",$B$3)</f>
        <v/>
      </c>
    </row>
    <row r="82">
      <c r="A82" s="16">
        <f>IFERROR(INDEX(Transactions!$A$6:$A$5000,AGGREGATE(15,6,(ROW(Transactions!$C$6:$C$5000)-ROW(Transactions!$C$6)+1)/(Transactions!$C$6:$C$5000=$B$3),ROWS($A$9:A82))),"")</f>
        <v/>
      </c>
      <c r="B82">
        <f>IF($A82="","",INDEX(Transactions!$B$6:$B$5000,AGGREGATE(15,6,(ROW(Transactions!$C$6:$C$5000)-ROW(Transactions!$C$6)+1)/(Transactions!$C$6:$C$5000=$B$3),ROWS($A$9:A82))))</f>
        <v/>
      </c>
      <c r="C82">
        <f>IF($A82="","",INDEX(Transactions!$E$6:$E$5000,AGGREGATE(15,6,(ROW(Transactions!$C$6:$C$5000)-ROW(Transactions!$C$6)+1)/(Transactions!$C$6:$C$5000=$B$3),ROWS($A$9:A82))))</f>
        <v/>
      </c>
      <c r="D82" s="7">
        <f>IF($A82="","",INDEX(Transactions!$F$6:$F$5000,AGGREGATE(15,6,(ROW(Transactions!$C$6:$C$5000)-ROW(Transactions!$C$6)+1)/(Transactions!$C$6:$C$5000=$B$3),ROWS($A$9:A82))))</f>
        <v/>
      </c>
      <c r="E82" s="7">
        <f>IF($A82="","",INDEX(Transactions!$G$6:$G$5000,AGGREGATE(15,6,(ROW(Transactions!$C$6:$C$5000)-ROW(Transactions!$C$6)+1)/(Transactions!$C$6:$C$5000=$B$3),ROWS($A$9:A82))))</f>
        <v/>
      </c>
      <c r="F82" s="7">
        <f>IF($A82="","",$B$5+SUM($D$9:D82)-SUM($E$9:E82))</f>
        <v/>
      </c>
      <c r="G82">
        <f>IF($A82="","",INDEX(Transactions!$H$6:$H$5000,AGGREGATE(15,6,(ROW(Transactions!$C$6:$C$5000)-ROW(Transactions!$C$6)+1)/(Transactions!$C$6:$C$5000=$B$3),ROWS($A$9:A82))))</f>
        <v/>
      </c>
      <c r="H82">
        <f>IF($A82="","",TEXT($A82,"mmm-yyyy"))</f>
        <v/>
      </c>
      <c r="I82">
        <f>IF($A82="","",$B$3)</f>
        <v/>
      </c>
    </row>
    <row r="83">
      <c r="A83" s="16">
        <f>IFERROR(INDEX(Transactions!$A$6:$A$5000,AGGREGATE(15,6,(ROW(Transactions!$C$6:$C$5000)-ROW(Transactions!$C$6)+1)/(Transactions!$C$6:$C$5000=$B$3),ROWS($A$9:A83))),"")</f>
        <v/>
      </c>
      <c r="B83">
        <f>IF($A83="","",INDEX(Transactions!$B$6:$B$5000,AGGREGATE(15,6,(ROW(Transactions!$C$6:$C$5000)-ROW(Transactions!$C$6)+1)/(Transactions!$C$6:$C$5000=$B$3),ROWS($A$9:A83))))</f>
        <v/>
      </c>
      <c r="C83">
        <f>IF($A83="","",INDEX(Transactions!$E$6:$E$5000,AGGREGATE(15,6,(ROW(Transactions!$C$6:$C$5000)-ROW(Transactions!$C$6)+1)/(Transactions!$C$6:$C$5000=$B$3),ROWS($A$9:A83))))</f>
        <v/>
      </c>
      <c r="D83" s="7">
        <f>IF($A83="","",INDEX(Transactions!$F$6:$F$5000,AGGREGATE(15,6,(ROW(Transactions!$C$6:$C$5000)-ROW(Transactions!$C$6)+1)/(Transactions!$C$6:$C$5000=$B$3),ROWS($A$9:A83))))</f>
        <v/>
      </c>
      <c r="E83" s="7">
        <f>IF($A83="","",INDEX(Transactions!$G$6:$G$5000,AGGREGATE(15,6,(ROW(Transactions!$C$6:$C$5000)-ROW(Transactions!$C$6)+1)/(Transactions!$C$6:$C$5000=$B$3),ROWS($A$9:A83))))</f>
        <v/>
      </c>
      <c r="F83" s="7">
        <f>IF($A83="","",$B$5+SUM($D$9:D83)-SUM($E$9:E83))</f>
        <v/>
      </c>
      <c r="G83">
        <f>IF($A83="","",INDEX(Transactions!$H$6:$H$5000,AGGREGATE(15,6,(ROW(Transactions!$C$6:$C$5000)-ROW(Transactions!$C$6)+1)/(Transactions!$C$6:$C$5000=$B$3),ROWS($A$9:A83))))</f>
        <v/>
      </c>
      <c r="H83">
        <f>IF($A83="","",TEXT($A83,"mmm-yyyy"))</f>
        <v/>
      </c>
      <c r="I83">
        <f>IF($A83="","",$B$3)</f>
        <v/>
      </c>
    </row>
    <row r="84">
      <c r="A84" s="16">
        <f>IFERROR(INDEX(Transactions!$A$6:$A$5000,AGGREGATE(15,6,(ROW(Transactions!$C$6:$C$5000)-ROW(Transactions!$C$6)+1)/(Transactions!$C$6:$C$5000=$B$3),ROWS($A$9:A84))),"")</f>
        <v/>
      </c>
      <c r="B84">
        <f>IF($A84="","",INDEX(Transactions!$B$6:$B$5000,AGGREGATE(15,6,(ROW(Transactions!$C$6:$C$5000)-ROW(Transactions!$C$6)+1)/(Transactions!$C$6:$C$5000=$B$3),ROWS($A$9:A84))))</f>
        <v/>
      </c>
      <c r="C84">
        <f>IF($A84="","",INDEX(Transactions!$E$6:$E$5000,AGGREGATE(15,6,(ROW(Transactions!$C$6:$C$5000)-ROW(Transactions!$C$6)+1)/(Transactions!$C$6:$C$5000=$B$3),ROWS($A$9:A84))))</f>
        <v/>
      </c>
      <c r="D84" s="7">
        <f>IF($A84="","",INDEX(Transactions!$F$6:$F$5000,AGGREGATE(15,6,(ROW(Transactions!$C$6:$C$5000)-ROW(Transactions!$C$6)+1)/(Transactions!$C$6:$C$5000=$B$3),ROWS($A$9:A84))))</f>
        <v/>
      </c>
      <c r="E84" s="7">
        <f>IF($A84="","",INDEX(Transactions!$G$6:$G$5000,AGGREGATE(15,6,(ROW(Transactions!$C$6:$C$5000)-ROW(Transactions!$C$6)+1)/(Transactions!$C$6:$C$5000=$B$3),ROWS($A$9:A84))))</f>
        <v/>
      </c>
      <c r="F84" s="7">
        <f>IF($A84="","",$B$5+SUM($D$9:D84)-SUM($E$9:E84))</f>
        <v/>
      </c>
      <c r="G84">
        <f>IF($A84="","",INDEX(Transactions!$H$6:$H$5000,AGGREGATE(15,6,(ROW(Transactions!$C$6:$C$5000)-ROW(Transactions!$C$6)+1)/(Transactions!$C$6:$C$5000=$B$3),ROWS($A$9:A84))))</f>
        <v/>
      </c>
      <c r="H84">
        <f>IF($A84="","",TEXT($A84,"mmm-yyyy"))</f>
        <v/>
      </c>
      <c r="I84">
        <f>IF($A84="","",$B$3)</f>
        <v/>
      </c>
    </row>
    <row r="85">
      <c r="A85" s="16">
        <f>IFERROR(INDEX(Transactions!$A$6:$A$5000,AGGREGATE(15,6,(ROW(Transactions!$C$6:$C$5000)-ROW(Transactions!$C$6)+1)/(Transactions!$C$6:$C$5000=$B$3),ROWS($A$9:A85))),"")</f>
        <v/>
      </c>
      <c r="B85">
        <f>IF($A85="","",INDEX(Transactions!$B$6:$B$5000,AGGREGATE(15,6,(ROW(Transactions!$C$6:$C$5000)-ROW(Transactions!$C$6)+1)/(Transactions!$C$6:$C$5000=$B$3),ROWS($A$9:A85))))</f>
        <v/>
      </c>
      <c r="C85">
        <f>IF($A85="","",INDEX(Transactions!$E$6:$E$5000,AGGREGATE(15,6,(ROW(Transactions!$C$6:$C$5000)-ROW(Transactions!$C$6)+1)/(Transactions!$C$6:$C$5000=$B$3),ROWS($A$9:A85))))</f>
        <v/>
      </c>
      <c r="D85" s="7">
        <f>IF($A85="","",INDEX(Transactions!$F$6:$F$5000,AGGREGATE(15,6,(ROW(Transactions!$C$6:$C$5000)-ROW(Transactions!$C$6)+1)/(Transactions!$C$6:$C$5000=$B$3),ROWS($A$9:A85))))</f>
        <v/>
      </c>
      <c r="E85" s="7">
        <f>IF($A85="","",INDEX(Transactions!$G$6:$G$5000,AGGREGATE(15,6,(ROW(Transactions!$C$6:$C$5000)-ROW(Transactions!$C$6)+1)/(Transactions!$C$6:$C$5000=$B$3),ROWS($A$9:A85))))</f>
        <v/>
      </c>
      <c r="F85" s="7">
        <f>IF($A85="","",$B$5+SUM($D$9:D85)-SUM($E$9:E85))</f>
        <v/>
      </c>
      <c r="G85">
        <f>IF($A85="","",INDEX(Transactions!$H$6:$H$5000,AGGREGATE(15,6,(ROW(Transactions!$C$6:$C$5000)-ROW(Transactions!$C$6)+1)/(Transactions!$C$6:$C$5000=$B$3),ROWS($A$9:A85))))</f>
        <v/>
      </c>
      <c r="H85">
        <f>IF($A85="","",TEXT($A85,"mmm-yyyy"))</f>
        <v/>
      </c>
      <c r="I85">
        <f>IF($A85="","",$B$3)</f>
        <v/>
      </c>
    </row>
    <row r="86">
      <c r="A86" s="16">
        <f>IFERROR(INDEX(Transactions!$A$6:$A$5000,AGGREGATE(15,6,(ROW(Transactions!$C$6:$C$5000)-ROW(Transactions!$C$6)+1)/(Transactions!$C$6:$C$5000=$B$3),ROWS($A$9:A86))),"")</f>
        <v/>
      </c>
      <c r="B86">
        <f>IF($A86="","",INDEX(Transactions!$B$6:$B$5000,AGGREGATE(15,6,(ROW(Transactions!$C$6:$C$5000)-ROW(Transactions!$C$6)+1)/(Transactions!$C$6:$C$5000=$B$3),ROWS($A$9:A86))))</f>
        <v/>
      </c>
      <c r="C86">
        <f>IF($A86="","",INDEX(Transactions!$E$6:$E$5000,AGGREGATE(15,6,(ROW(Transactions!$C$6:$C$5000)-ROW(Transactions!$C$6)+1)/(Transactions!$C$6:$C$5000=$B$3),ROWS($A$9:A86))))</f>
        <v/>
      </c>
      <c r="D86" s="7">
        <f>IF($A86="","",INDEX(Transactions!$F$6:$F$5000,AGGREGATE(15,6,(ROW(Transactions!$C$6:$C$5000)-ROW(Transactions!$C$6)+1)/(Transactions!$C$6:$C$5000=$B$3),ROWS($A$9:A86))))</f>
        <v/>
      </c>
      <c r="E86" s="7">
        <f>IF($A86="","",INDEX(Transactions!$G$6:$G$5000,AGGREGATE(15,6,(ROW(Transactions!$C$6:$C$5000)-ROW(Transactions!$C$6)+1)/(Transactions!$C$6:$C$5000=$B$3),ROWS($A$9:A86))))</f>
        <v/>
      </c>
      <c r="F86" s="7">
        <f>IF($A86="","",$B$5+SUM($D$9:D86)-SUM($E$9:E86))</f>
        <v/>
      </c>
      <c r="G86">
        <f>IF($A86="","",INDEX(Transactions!$H$6:$H$5000,AGGREGATE(15,6,(ROW(Transactions!$C$6:$C$5000)-ROW(Transactions!$C$6)+1)/(Transactions!$C$6:$C$5000=$B$3),ROWS($A$9:A86))))</f>
        <v/>
      </c>
      <c r="H86">
        <f>IF($A86="","",TEXT($A86,"mmm-yyyy"))</f>
        <v/>
      </c>
      <c r="I86">
        <f>IF($A86="","",$B$3)</f>
        <v/>
      </c>
    </row>
    <row r="87">
      <c r="A87" s="16">
        <f>IFERROR(INDEX(Transactions!$A$6:$A$5000,AGGREGATE(15,6,(ROW(Transactions!$C$6:$C$5000)-ROW(Transactions!$C$6)+1)/(Transactions!$C$6:$C$5000=$B$3),ROWS($A$9:A87))),"")</f>
        <v/>
      </c>
      <c r="B87">
        <f>IF($A87="","",INDEX(Transactions!$B$6:$B$5000,AGGREGATE(15,6,(ROW(Transactions!$C$6:$C$5000)-ROW(Transactions!$C$6)+1)/(Transactions!$C$6:$C$5000=$B$3),ROWS($A$9:A87))))</f>
        <v/>
      </c>
      <c r="C87">
        <f>IF($A87="","",INDEX(Transactions!$E$6:$E$5000,AGGREGATE(15,6,(ROW(Transactions!$C$6:$C$5000)-ROW(Transactions!$C$6)+1)/(Transactions!$C$6:$C$5000=$B$3),ROWS($A$9:A87))))</f>
        <v/>
      </c>
      <c r="D87" s="7">
        <f>IF($A87="","",INDEX(Transactions!$F$6:$F$5000,AGGREGATE(15,6,(ROW(Transactions!$C$6:$C$5000)-ROW(Transactions!$C$6)+1)/(Transactions!$C$6:$C$5000=$B$3),ROWS($A$9:A87))))</f>
        <v/>
      </c>
      <c r="E87" s="7">
        <f>IF($A87="","",INDEX(Transactions!$G$6:$G$5000,AGGREGATE(15,6,(ROW(Transactions!$C$6:$C$5000)-ROW(Transactions!$C$6)+1)/(Transactions!$C$6:$C$5000=$B$3),ROWS($A$9:A87))))</f>
        <v/>
      </c>
      <c r="F87" s="7">
        <f>IF($A87="","",$B$5+SUM($D$9:D87)-SUM($E$9:E87))</f>
        <v/>
      </c>
      <c r="G87">
        <f>IF($A87="","",INDEX(Transactions!$H$6:$H$5000,AGGREGATE(15,6,(ROW(Transactions!$C$6:$C$5000)-ROW(Transactions!$C$6)+1)/(Transactions!$C$6:$C$5000=$B$3),ROWS($A$9:A87))))</f>
        <v/>
      </c>
      <c r="H87">
        <f>IF($A87="","",TEXT($A87,"mmm-yyyy"))</f>
        <v/>
      </c>
      <c r="I87">
        <f>IF($A87="","",$B$3)</f>
        <v/>
      </c>
    </row>
    <row r="88">
      <c r="A88" s="16">
        <f>IFERROR(INDEX(Transactions!$A$6:$A$5000,AGGREGATE(15,6,(ROW(Transactions!$C$6:$C$5000)-ROW(Transactions!$C$6)+1)/(Transactions!$C$6:$C$5000=$B$3),ROWS($A$9:A88))),"")</f>
        <v/>
      </c>
      <c r="B88">
        <f>IF($A88="","",INDEX(Transactions!$B$6:$B$5000,AGGREGATE(15,6,(ROW(Transactions!$C$6:$C$5000)-ROW(Transactions!$C$6)+1)/(Transactions!$C$6:$C$5000=$B$3),ROWS($A$9:A88))))</f>
        <v/>
      </c>
      <c r="C88">
        <f>IF($A88="","",INDEX(Transactions!$E$6:$E$5000,AGGREGATE(15,6,(ROW(Transactions!$C$6:$C$5000)-ROW(Transactions!$C$6)+1)/(Transactions!$C$6:$C$5000=$B$3),ROWS($A$9:A88))))</f>
        <v/>
      </c>
      <c r="D88" s="7">
        <f>IF($A88="","",INDEX(Transactions!$F$6:$F$5000,AGGREGATE(15,6,(ROW(Transactions!$C$6:$C$5000)-ROW(Transactions!$C$6)+1)/(Transactions!$C$6:$C$5000=$B$3),ROWS($A$9:A88))))</f>
        <v/>
      </c>
      <c r="E88" s="7">
        <f>IF($A88="","",INDEX(Transactions!$G$6:$G$5000,AGGREGATE(15,6,(ROW(Transactions!$C$6:$C$5000)-ROW(Transactions!$C$6)+1)/(Transactions!$C$6:$C$5000=$B$3),ROWS($A$9:A88))))</f>
        <v/>
      </c>
      <c r="F88" s="7">
        <f>IF($A88="","",$B$5+SUM($D$9:D88)-SUM($E$9:E88))</f>
        <v/>
      </c>
      <c r="G88">
        <f>IF($A88="","",INDEX(Transactions!$H$6:$H$5000,AGGREGATE(15,6,(ROW(Transactions!$C$6:$C$5000)-ROW(Transactions!$C$6)+1)/(Transactions!$C$6:$C$5000=$B$3),ROWS($A$9:A88))))</f>
        <v/>
      </c>
      <c r="H88">
        <f>IF($A88="","",TEXT($A88,"mmm-yyyy"))</f>
        <v/>
      </c>
      <c r="I88">
        <f>IF($A88="","",$B$3)</f>
        <v/>
      </c>
    </row>
    <row r="89">
      <c r="A89" s="16">
        <f>IFERROR(INDEX(Transactions!$A$6:$A$5000,AGGREGATE(15,6,(ROW(Transactions!$C$6:$C$5000)-ROW(Transactions!$C$6)+1)/(Transactions!$C$6:$C$5000=$B$3),ROWS($A$9:A89))),"")</f>
        <v/>
      </c>
      <c r="B89">
        <f>IF($A89="","",INDEX(Transactions!$B$6:$B$5000,AGGREGATE(15,6,(ROW(Transactions!$C$6:$C$5000)-ROW(Transactions!$C$6)+1)/(Transactions!$C$6:$C$5000=$B$3),ROWS($A$9:A89))))</f>
        <v/>
      </c>
      <c r="C89">
        <f>IF($A89="","",INDEX(Transactions!$E$6:$E$5000,AGGREGATE(15,6,(ROW(Transactions!$C$6:$C$5000)-ROW(Transactions!$C$6)+1)/(Transactions!$C$6:$C$5000=$B$3),ROWS($A$9:A89))))</f>
        <v/>
      </c>
      <c r="D89" s="7">
        <f>IF($A89="","",INDEX(Transactions!$F$6:$F$5000,AGGREGATE(15,6,(ROW(Transactions!$C$6:$C$5000)-ROW(Transactions!$C$6)+1)/(Transactions!$C$6:$C$5000=$B$3),ROWS($A$9:A89))))</f>
        <v/>
      </c>
      <c r="E89" s="7">
        <f>IF($A89="","",INDEX(Transactions!$G$6:$G$5000,AGGREGATE(15,6,(ROW(Transactions!$C$6:$C$5000)-ROW(Transactions!$C$6)+1)/(Transactions!$C$6:$C$5000=$B$3),ROWS($A$9:A89))))</f>
        <v/>
      </c>
      <c r="F89" s="7">
        <f>IF($A89="","",$B$5+SUM($D$9:D89)-SUM($E$9:E89))</f>
        <v/>
      </c>
      <c r="G89">
        <f>IF($A89="","",INDEX(Transactions!$H$6:$H$5000,AGGREGATE(15,6,(ROW(Transactions!$C$6:$C$5000)-ROW(Transactions!$C$6)+1)/(Transactions!$C$6:$C$5000=$B$3),ROWS($A$9:A89))))</f>
        <v/>
      </c>
      <c r="H89">
        <f>IF($A89="","",TEXT($A89,"mmm-yyyy"))</f>
        <v/>
      </c>
      <c r="I89">
        <f>IF($A89="","",$B$3)</f>
        <v/>
      </c>
    </row>
    <row r="90">
      <c r="A90" s="16">
        <f>IFERROR(INDEX(Transactions!$A$6:$A$5000,AGGREGATE(15,6,(ROW(Transactions!$C$6:$C$5000)-ROW(Transactions!$C$6)+1)/(Transactions!$C$6:$C$5000=$B$3),ROWS($A$9:A90))),"")</f>
        <v/>
      </c>
      <c r="B90">
        <f>IF($A90="","",INDEX(Transactions!$B$6:$B$5000,AGGREGATE(15,6,(ROW(Transactions!$C$6:$C$5000)-ROW(Transactions!$C$6)+1)/(Transactions!$C$6:$C$5000=$B$3),ROWS($A$9:A90))))</f>
        <v/>
      </c>
      <c r="C90">
        <f>IF($A90="","",INDEX(Transactions!$E$6:$E$5000,AGGREGATE(15,6,(ROW(Transactions!$C$6:$C$5000)-ROW(Transactions!$C$6)+1)/(Transactions!$C$6:$C$5000=$B$3),ROWS($A$9:A90))))</f>
        <v/>
      </c>
      <c r="D90" s="7">
        <f>IF($A90="","",INDEX(Transactions!$F$6:$F$5000,AGGREGATE(15,6,(ROW(Transactions!$C$6:$C$5000)-ROW(Transactions!$C$6)+1)/(Transactions!$C$6:$C$5000=$B$3),ROWS($A$9:A90))))</f>
        <v/>
      </c>
      <c r="E90" s="7">
        <f>IF($A90="","",INDEX(Transactions!$G$6:$G$5000,AGGREGATE(15,6,(ROW(Transactions!$C$6:$C$5000)-ROW(Transactions!$C$6)+1)/(Transactions!$C$6:$C$5000=$B$3),ROWS($A$9:A90))))</f>
        <v/>
      </c>
      <c r="F90" s="7">
        <f>IF($A90="","",$B$5+SUM($D$9:D90)-SUM($E$9:E90))</f>
        <v/>
      </c>
      <c r="G90">
        <f>IF($A90="","",INDEX(Transactions!$H$6:$H$5000,AGGREGATE(15,6,(ROW(Transactions!$C$6:$C$5000)-ROW(Transactions!$C$6)+1)/(Transactions!$C$6:$C$5000=$B$3),ROWS($A$9:A90))))</f>
        <v/>
      </c>
      <c r="H90">
        <f>IF($A90="","",TEXT($A90,"mmm-yyyy"))</f>
        <v/>
      </c>
      <c r="I90">
        <f>IF($A90="","",$B$3)</f>
        <v/>
      </c>
    </row>
    <row r="91">
      <c r="A91" s="16">
        <f>IFERROR(INDEX(Transactions!$A$6:$A$5000,AGGREGATE(15,6,(ROW(Transactions!$C$6:$C$5000)-ROW(Transactions!$C$6)+1)/(Transactions!$C$6:$C$5000=$B$3),ROWS($A$9:A91))),"")</f>
        <v/>
      </c>
      <c r="B91">
        <f>IF($A91="","",INDEX(Transactions!$B$6:$B$5000,AGGREGATE(15,6,(ROW(Transactions!$C$6:$C$5000)-ROW(Transactions!$C$6)+1)/(Transactions!$C$6:$C$5000=$B$3),ROWS($A$9:A91))))</f>
        <v/>
      </c>
      <c r="C91">
        <f>IF($A91="","",INDEX(Transactions!$E$6:$E$5000,AGGREGATE(15,6,(ROW(Transactions!$C$6:$C$5000)-ROW(Transactions!$C$6)+1)/(Transactions!$C$6:$C$5000=$B$3),ROWS($A$9:A91))))</f>
        <v/>
      </c>
      <c r="D91" s="7">
        <f>IF($A91="","",INDEX(Transactions!$F$6:$F$5000,AGGREGATE(15,6,(ROW(Transactions!$C$6:$C$5000)-ROW(Transactions!$C$6)+1)/(Transactions!$C$6:$C$5000=$B$3),ROWS($A$9:A91))))</f>
        <v/>
      </c>
      <c r="E91" s="7">
        <f>IF($A91="","",INDEX(Transactions!$G$6:$G$5000,AGGREGATE(15,6,(ROW(Transactions!$C$6:$C$5000)-ROW(Transactions!$C$6)+1)/(Transactions!$C$6:$C$5000=$B$3),ROWS($A$9:A91))))</f>
        <v/>
      </c>
      <c r="F91" s="7">
        <f>IF($A91="","",$B$5+SUM($D$9:D91)-SUM($E$9:E91))</f>
        <v/>
      </c>
      <c r="G91">
        <f>IF($A91="","",INDEX(Transactions!$H$6:$H$5000,AGGREGATE(15,6,(ROW(Transactions!$C$6:$C$5000)-ROW(Transactions!$C$6)+1)/(Transactions!$C$6:$C$5000=$B$3),ROWS($A$9:A91))))</f>
        <v/>
      </c>
      <c r="H91">
        <f>IF($A91="","",TEXT($A91,"mmm-yyyy"))</f>
        <v/>
      </c>
      <c r="I91">
        <f>IF($A91="","",$B$3)</f>
        <v/>
      </c>
    </row>
    <row r="92">
      <c r="A92" s="16">
        <f>IFERROR(INDEX(Transactions!$A$6:$A$5000,AGGREGATE(15,6,(ROW(Transactions!$C$6:$C$5000)-ROW(Transactions!$C$6)+1)/(Transactions!$C$6:$C$5000=$B$3),ROWS($A$9:A92))),"")</f>
        <v/>
      </c>
      <c r="B92">
        <f>IF($A92="","",INDEX(Transactions!$B$6:$B$5000,AGGREGATE(15,6,(ROW(Transactions!$C$6:$C$5000)-ROW(Transactions!$C$6)+1)/(Transactions!$C$6:$C$5000=$B$3),ROWS($A$9:A92))))</f>
        <v/>
      </c>
      <c r="C92">
        <f>IF($A92="","",INDEX(Transactions!$E$6:$E$5000,AGGREGATE(15,6,(ROW(Transactions!$C$6:$C$5000)-ROW(Transactions!$C$6)+1)/(Transactions!$C$6:$C$5000=$B$3),ROWS($A$9:A92))))</f>
        <v/>
      </c>
      <c r="D92" s="7">
        <f>IF($A92="","",INDEX(Transactions!$F$6:$F$5000,AGGREGATE(15,6,(ROW(Transactions!$C$6:$C$5000)-ROW(Transactions!$C$6)+1)/(Transactions!$C$6:$C$5000=$B$3),ROWS($A$9:A92))))</f>
        <v/>
      </c>
      <c r="E92" s="7">
        <f>IF($A92="","",INDEX(Transactions!$G$6:$G$5000,AGGREGATE(15,6,(ROW(Transactions!$C$6:$C$5000)-ROW(Transactions!$C$6)+1)/(Transactions!$C$6:$C$5000=$B$3),ROWS($A$9:A92))))</f>
        <v/>
      </c>
      <c r="F92" s="7">
        <f>IF($A92="","",$B$5+SUM($D$9:D92)-SUM($E$9:E92))</f>
        <v/>
      </c>
      <c r="G92">
        <f>IF($A92="","",INDEX(Transactions!$H$6:$H$5000,AGGREGATE(15,6,(ROW(Transactions!$C$6:$C$5000)-ROW(Transactions!$C$6)+1)/(Transactions!$C$6:$C$5000=$B$3),ROWS($A$9:A92))))</f>
        <v/>
      </c>
      <c r="H92">
        <f>IF($A92="","",TEXT($A92,"mmm-yyyy"))</f>
        <v/>
      </c>
      <c r="I92">
        <f>IF($A92="","",$B$3)</f>
        <v/>
      </c>
    </row>
    <row r="93">
      <c r="A93" s="16">
        <f>IFERROR(INDEX(Transactions!$A$6:$A$5000,AGGREGATE(15,6,(ROW(Transactions!$C$6:$C$5000)-ROW(Transactions!$C$6)+1)/(Transactions!$C$6:$C$5000=$B$3),ROWS($A$9:A93))),"")</f>
        <v/>
      </c>
      <c r="B93">
        <f>IF($A93="","",INDEX(Transactions!$B$6:$B$5000,AGGREGATE(15,6,(ROW(Transactions!$C$6:$C$5000)-ROW(Transactions!$C$6)+1)/(Transactions!$C$6:$C$5000=$B$3),ROWS($A$9:A93))))</f>
        <v/>
      </c>
      <c r="C93">
        <f>IF($A93="","",INDEX(Transactions!$E$6:$E$5000,AGGREGATE(15,6,(ROW(Transactions!$C$6:$C$5000)-ROW(Transactions!$C$6)+1)/(Transactions!$C$6:$C$5000=$B$3),ROWS($A$9:A93))))</f>
        <v/>
      </c>
      <c r="D93" s="7">
        <f>IF($A93="","",INDEX(Transactions!$F$6:$F$5000,AGGREGATE(15,6,(ROW(Transactions!$C$6:$C$5000)-ROW(Transactions!$C$6)+1)/(Transactions!$C$6:$C$5000=$B$3),ROWS($A$9:A93))))</f>
        <v/>
      </c>
      <c r="E93" s="7">
        <f>IF($A93="","",INDEX(Transactions!$G$6:$G$5000,AGGREGATE(15,6,(ROW(Transactions!$C$6:$C$5000)-ROW(Transactions!$C$6)+1)/(Transactions!$C$6:$C$5000=$B$3),ROWS($A$9:A93))))</f>
        <v/>
      </c>
      <c r="F93" s="7">
        <f>IF($A93="","",$B$5+SUM($D$9:D93)-SUM($E$9:E93))</f>
        <v/>
      </c>
      <c r="G93">
        <f>IF($A93="","",INDEX(Transactions!$H$6:$H$5000,AGGREGATE(15,6,(ROW(Transactions!$C$6:$C$5000)-ROW(Transactions!$C$6)+1)/(Transactions!$C$6:$C$5000=$B$3),ROWS($A$9:A93))))</f>
        <v/>
      </c>
      <c r="H93">
        <f>IF($A93="","",TEXT($A93,"mmm-yyyy"))</f>
        <v/>
      </c>
      <c r="I93">
        <f>IF($A93="","",$B$3)</f>
        <v/>
      </c>
    </row>
    <row r="94">
      <c r="A94" s="16">
        <f>IFERROR(INDEX(Transactions!$A$6:$A$5000,AGGREGATE(15,6,(ROW(Transactions!$C$6:$C$5000)-ROW(Transactions!$C$6)+1)/(Transactions!$C$6:$C$5000=$B$3),ROWS($A$9:A94))),"")</f>
        <v/>
      </c>
      <c r="B94">
        <f>IF($A94="","",INDEX(Transactions!$B$6:$B$5000,AGGREGATE(15,6,(ROW(Transactions!$C$6:$C$5000)-ROW(Transactions!$C$6)+1)/(Transactions!$C$6:$C$5000=$B$3),ROWS($A$9:A94))))</f>
        <v/>
      </c>
      <c r="C94">
        <f>IF($A94="","",INDEX(Transactions!$E$6:$E$5000,AGGREGATE(15,6,(ROW(Transactions!$C$6:$C$5000)-ROW(Transactions!$C$6)+1)/(Transactions!$C$6:$C$5000=$B$3),ROWS($A$9:A94))))</f>
        <v/>
      </c>
      <c r="D94" s="7">
        <f>IF($A94="","",INDEX(Transactions!$F$6:$F$5000,AGGREGATE(15,6,(ROW(Transactions!$C$6:$C$5000)-ROW(Transactions!$C$6)+1)/(Transactions!$C$6:$C$5000=$B$3),ROWS($A$9:A94))))</f>
        <v/>
      </c>
      <c r="E94" s="7">
        <f>IF($A94="","",INDEX(Transactions!$G$6:$G$5000,AGGREGATE(15,6,(ROW(Transactions!$C$6:$C$5000)-ROW(Transactions!$C$6)+1)/(Transactions!$C$6:$C$5000=$B$3),ROWS($A$9:A94))))</f>
        <v/>
      </c>
      <c r="F94" s="7">
        <f>IF($A94="","",$B$5+SUM($D$9:D94)-SUM($E$9:E94))</f>
        <v/>
      </c>
      <c r="G94">
        <f>IF($A94="","",INDEX(Transactions!$H$6:$H$5000,AGGREGATE(15,6,(ROW(Transactions!$C$6:$C$5000)-ROW(Transactions!$C$6)+1)/(Transactions!$C$6:$C$5000=$B$3),ROWS($A$9:A94))))</f>
        <v/>
      </c>
      <c r="H94">
        <f>IF($A94="","",TEXT($A94,"mmm-yyyy"))</f>
        <v/>
      </c>
      <c r="I94">
        <f>IF($A94="","",$B$3)</f>
        <v/>
      </c>
    </row>
    <row r="95">
      <c r="A95" s="16">
        <f>IFERROR(INDEX(Transactions!$A$6:$A$5000,AGGREGATE(15,6,(ROW(Transactions!$C$6:$C$5000)-ROW(Transactions!$C$6)+1)/(Transactions!$C$6:$C$5000=$B$3),ROWS($A$9:A95))),"")</f>
        <v/>
      </c>
      <c r="B95">
        <f>IF($A95="","",INDEX(Transactions!$B$6:$B$5000,AGGREGATE(15,6,(ROW(Transactions!$C$6:$C$5000)-ROW(Transactions!$C$6)+1)/(Transactions!$C$6:$C$5000=$B$3),ROWS($A$9:A95))))</f>
        <v/>
      </c>
      <c r="C95">
        <f>IF($A95="","",INDEX(Transactions!$E$6:$E$5000,AGGREGATE(15,6,(ROW(Transactions!$C$6:$C$5000)-ROW(Transactions!$C$6)+1)/(Transactions!$C$6:$C$5000=$B$3),ROWS($A$9:A95))))</f>
        <v/>
      </c>
      <c r="D95" s="7">
        <f>IF($A95="","",INDEX(Transactions!$F$6:$F$5000,AGGREGATE(15,6,(ROW(Transactions!$C$6:$C$5000)-ROW(Transactions!$C$6)+1)/(Transactions!$C$6:$C$5000=$B$3),ROWS($A$9:A95))))</f>
        <v/>
      </c>
      <c r="E95" s="7">
        <f>IF($A95="","",INDEX(Transactions!$G$6:$G$5000,AGGREGATE(15,6,(ROW(Transactions!$C$6:$C$5000)-ROW(Transactions!$C$6)+1)/(Transactions!$C$6:$C$5000=$B$3),ROWS($A$9:A95))))</f>
        <v/>
      </c>
      <c r="F95" s="7">
        <f>IF($A95="","",$B$5+SUM($D$9:D95)-SUM($E$9:E95))</f>
        <v/>
      </c>
      <c r="G95">
        <f>IF($A95="","",INDEX(Transactions!$H$6:$H$5000,AGGREGATE(15,6,(ROW(Transactions!$C$6:$C$5000)-ROW(Transactions!$C$6)+1)/(Transactions!$C$6:$C$5000=$B$3),ROWS($A$9:A95))))</f>
        <v/>
      </c>
      <c r="H95">
        <f>IF($A95="","",TEXT($A95,"mmm-yyyy"))</f>
        <v/>
      </c>
      <c r="I95">
        <f>IF($A95="","",$B$3)</f>
        <v/>
      </c>
    </row>
    <row r="96">
      <c r="A96" s="16">
        <f>IFERROR(INDEX(Transactions!$A$6:$A$5000,AGGREGATE(15,6,(ROW(Transactions!$C$6:$C$5000)-ROW(Transactions!$C$6)+1)/(Transactions!$C$6:$C$5000=$B$3),ROWS($A$9:A96))),"")</f>
        <v/>
      </c>
      <c r="B96">
        <f>IF($A96="","",INDEX(Transactions!$B$6:$B$5000,AGGREGATE(15,6,(ROW(Transactions!$C$6:$C$5000)-ROW(Transactions!$C$6)+1)/(Transactions!$C$6:$C$5000=$B$3),ROWS($A$9:A96))))</f>
        <v/>
      </c>
      <c r="C96">
        <f>IF($A96="","",INDEX(Transactions!$E$6:$E$5000,AGGREGATE(15,6,(ROW(Transactions!$C$6:$C$5000)-ROW(Transactions!$C$6)+1)/(Transactions!$C$6:$C$5000=$B$3),ROWS($A$9:A96))))</f>
        <v/>
      </c>
      <c r="D96" s="7">
        <f>IF($A96="","",INDEX(Transactions!$F$6:$F$5000,AGGREGATE(15,6,(ROW(Transactions!$C$6:$C$5000)-ROW(Transactions!$C$6)+1)/(Transactions!$C$6:$C$5000=$B$3),ROWS($A$9:A96))))</f>
        <v/>
      </c>
      <c r="E96" s="7">
        <f>IF($A96="","",INDEX(Transactions!$G$6:$G$5000,AGGREGATE(15,6,(ROW(Transactions!$C$6:$C$5000)-ROW(Transactions!$C$6)+1)/(Transactions!$C$6:$C$5000=$B$3),ROWS($A$9:A96))))</f>
        <v/>
      </c>
      <c r="F96" s="7">
        <f>IF($A96="","",$B$5+SUM($D$9:D96)-SUM($E$9:E96))</f>
        <v/>
      </c>
      <c r="G96">
        <f>IF($A96="","",INDEX(Transactions!$H$6:$H$5000,AGGREGATE(15,6,(ROW(Transactions!$C$6:$C$5000)-ROW(Transactions!$C$6)+1)/(Transactions!$C$6:$C$5000=$B$3),ROWS($A$9:A96))))</f>
        <v/>
      </c>
      <c r="H96">
        <f>IF($A96="","",TEXT($A96,"mmm-yyyy"))</f>
        <v/>
      </c>
      <c r="I96">
        <f>IF($A96="","",$B$3)</f>
        <v/>
      </c>
    </row>
    <row r="97">
      <c r="A97" s="16">
        <f>IFERROR(INDEX(Transactions!$A$6:$A$5000,AGGREGATE(15,6,(ROW(Transactions!$C$6:$C$5000)-ROW(Transactions!$C$6)+1)/(Transactions!$C$6:$C$5000=$B$3),ROWS($A$9:A97))),"")</f>
        <v/>
      </c>
      <c r="B97">
        <f>IF($A97="","",INDEX(Transactions!$B$6:$B$5000,AGGREGATE(15,6,(ROW(Transactions!$C$6:$C$5000)-ROW(Transactions!$C$6)+1)/(Transactions!$C$6:$C$5000=$B$3),ROWS($A$9:A97))))</f>
        <v/>
      </c>
      <c r="C97">
        <f>IF($A97="","",INDEX(Transactions!$E$6:$E$5000,AGGREGATE(15,6,(ROW(Transactions!$C$6:$C$5000)-ROW(Transactions!$C$6)+1)/(Transactions!$C$6:$C$5000=$B$3),ROWS($A$9:A97))))</f>
        <v/>
      </c>
      <c r="D97" s="7">
        <f>IF($A97="","",INDEX(Transactions!$F$6:$F$5000,AGGREGATE(15,6,(ROW(Transactions!$C$6:$C$5000)-ROW(Transactions!$C$6)+1)/(Transactions!$C$6:$C$5000=$B$3),ROWS($A$9:A97))))</f>
        <v/>
      </c>
      <c r="E97" s="7">
        <f>IF($A97="","",INDEX(Transactions!$G$6:$G$5000,AGGREGATE(15,6,(ROW(Transactions!$C$6:$C$5000)-ROW(Transactions!$C$6)+1)/(Transactions!$C$6:$C$5000=$B$3),ROWS($A$9:A97))))</f>
        <v/>
      </c>
      <c r="F97" s="7">
        <f>IF($A97="","",$B$5+SUM($D$9:D97)-SUM($E$9:E97))</f>
        <v/>
      </c>
      <c r="G97">
        <f>IF($A97="","",INDEX(Transactions!$H$6:$H$5000,AGGREGATE(15,6,(ROW(Transactions!$C$6:$C$5000)-ROW(Transactions!$C$6)+1)/(Transactions!$C$6:$C$5000=$B$3),ROWS($A$9:A97))))</f>
        <v/>
      </c>
      <c r="H97">
        <f>IF($A97="","",TEXT($A97,"mmm-yyyy"))</f>
        <v/>
      </c>
      <c r="I97">
        <f>IF($A97="","",$B$3)</f>
        <v/>
      </c>
    </row>
    <row r="98">
      <c r="A98" s="16">
        <f>IFERROR(INDEX(Transactions!$A$6:$A$5000,AGGREGATE(15,6,(ROW(Transactions!$C$6:$C$5000)-ROW(Transactions!$C$6)+1)/(Transactions!$C$6:$C$5000=$B$3),ROWS($A$9:A98))),"")</f>
        <v/>
      </c>
      <c r="B98">
        <f>IF($A98="","",INDEX(Transactions!$B$6:$B$5000,AGGREGATE(15,6,(ROW(Transactions!$C$6:$C$5000)-ROW(Transactions!$C$6)+1)/(Transactions!$C$6:$C$5000=$B$3),ROWS($A$9:A98))))</f>
        <v/>
      </c>
      <c r="C98">
        <f>IF($A98="","",INDEX(Transactions!$E$6:$E$5000,AGGREGATE(15,6,(ROW(Transactions!$C$6:$C$5000)-ROW(Transactions!$C$6)+1)/(Transactions!$C$6:$C$5000=$B$3),ROWS($A$9:A98))))</f>
        <v/>
      </c>
      <c r="D98" s="7">
        <f>IF($A98="","",INDEX(Transactions!$F$6:$F$5000,AGGREGATE(15,6,(ROW(Transactions!$C$6:$C$5000)-ROW(Transactions!$C$6)+1)/(Transactions!$C$6:$C$5000=$B$3),ROWS($A$9:A98))))</f>
        <v/>
      </c>
      <c r="E98" s="7">
        <f>IF($A98="","",INDEX(Transactions!$G$6:$G$5000,AGGREGATE(15,6,(ROW(Transactions!$C$6:$C$5000)-ROW(Transactions!$C$6)+1)/(Transactions!$C$6:$C$5000=$B$3),ROWS($A$9:A98))))</f>
        <v/>
      </c>
      <c r="F98" s="7">
        <f>IF($A98="","",$B$5+SUM($D$9:D98)-SUM($E$9:E98))</f>
        <v/>
      </c>
      <c r="G98">
        <f>IF($A98="","",INDEX(Transactions!$H$6:$H$5000,AGGREGATE(15,6,(ROW(Transactions!$C$6:$C$5000)-ROW(Transactions!$C$6)+1)/(Transactions!$C$6:$C$5000=$B$3),ROWS($A$9:A98))))</f>
        <v/>
      </c>
      <c r="H98">
        <f>IF($A98="","",TEXT($A98,"mmm-yyyy"))</f>
        <v/>
      </c>
      <c r="I98">
        <f>IF($A98="","",$B$3)</f>
        <v/>
      </c>
    </row>
    <row r="99">
      <c r="A99" s="16">
        <f>IFERROR(INDEX(Transactions!$A$6:$A$5000,AGGREGATE(15,6,(ROW(Transactions!$C$6:$C$5000)-ROW(Transactions!$C$6)+1)/(Transactions!$C$6:$C$5000=$B$3),ROWS($A$9:A99))),"")</f>
        <v/>
      </c>
      <c r="B99">
        <f>IF($A99="","",INDEX(Transactions!$B$6:$B$5000,AGGREGATE(15,6,(ROW(Transactions!$C$6:$C$5000)-ROW(Transactions!$C$6)+1)/(Transactions!$C$6:$C$5000=$B$3),ROWS($A$9:A99))))</f>
        <v/>
      </c>
      <c r="C99">
        <f>IF($A99="","",INDEX(Transactions!$E$6:$E$5000,AGGREGATE(15,6,(ROW(Transactions!$C$6:$C$5000)-ROW(Transactions!$C$6)+1)/(Transactions!$C$6:$C$5000=$B$3),ROWS($A$9:A99))))</f>
        <v/>
      </c>
      <c r="D99" s="7">
        <f>IF($A99="","",INDEX(Transactions!$F$6:$F$5000,AGGREGATE(15,6,(ROW(Transactions!$C$6:$C$5000)-ROW(Transactions!$C$6)+1)/(Transactions!$C$6:$C$5000=$B$3),ROWS($A$9:A99))))</f>
        <v/>
      </c>
      <c r="E99" s="7">
        <f>IF($A99="","",INDEX(Transactions!$G$6:$G$5000,AGGREGATE(15,6,(ROW(Transactions!$C$6:$C$5000)-ROW(Transactions!$C$6)+1)/(Transactions!$C$6:$C$5000=$B$3),ROWS($A$9:A99))))</f>
        <v/>
      </c>
      <c r="F99" s="7">
        <f>IF($A99="","",$B$5+SUM($D$9:D99)-SUM($E$9:E99))</f>
        <v/>
      </c>
      <c r="G99">
        <f>IF($A99="","",INDEX(Transactions!$H$6:$H$5000,AGGREGATE(15,6,(ROW(Transactions!$C$6:$C$5000)-ROW(Transactions!$C$6)+1)/(Transactions!$C$6:$C$5000=$B$3),ROWS($A$9:A99))))</f>
        <v/>
      </c>
      <c r="H99">
        <f>IF($A99="","",TEXT($A99,"mmm-yyyy"))</f>
        <v/>
      </c>
      <c r="I99">
        <f>IF($A99="","",$B$3)</f>
        <v/>
      </c>
    </row>
    <row r="100">
      <c r="A100" s="16">
        <f>IFERROR(INDEX(Transactions!$A$6:$A$5000,AGGREGATE(15,6,(ROW(Transactions!$C$6:$C$5000)-ROW(Transactions!$C$6)+1)/(Transactions!$C$6:$C$5000=$B$3),ROWS($A$9:A100))),"")</f>
        <v/>
      </c>
      <c r="B100">
        <f>IF($A100="","",INDEX(Transactions!$B$6:$B$5000,AGGREGATE(15,6,(ROW(Transactions!$C$6:$C$5000)-ROW(Transactions!$C$6)+1)/(Transactions!$C$6:$C$5000=$B$3),ROWS($A$9:A100))))</f>
        <v/>
      </c>
      <c r="C100">
        <f>IF($A100="","",INDEX(Transactions!$E$6:$E$5000,AGGREGATE(15,6,(ROW(Transactions!$C$6:$C$5000)-ROW(Transactions!$C$6)+1)/(Transactions!$C$6:$C$5000=$B$3),ROWS($A$9:A100))))</f>
        <v/>
      </c>
      <c r="D100" s="7">
        <f>IF($A100="","",INDEX(Transactions!$F$6:$F$5000,AGGREGATE(15,6,(ROW(Transactions!$C$6:$C$5000)-ROW(Transactions!$C$6)+1)/(Transactions!$C$6:$C$5000=$B$3),ROWS($A$9:A100))))</f>
        <v/>
      </c>
      <c r="E100" s="7">
        <f>IF($A100="","",INDEX(Transactions!$G$6:$G$5000,AGGREGATE(15,6,(ROW(Transactions!$C$6:$C$5000)-ROW(Transactions!$C$6)+1)/(Transactions!$C$6:$C$5000=$B$3),ROWS($A$9:A100))))</f>
        <v/>
      </c>
      <c r="F100" s="7">
        <f>IF($A100="","",$B$5+SUM($D$9:D100)-SUM($E$9:E100))</f>
        <v/>
      </c>
      <c r="G100">
        <f>IF($A100="","",INDEX(Transactions!$H$6:$H$5000,AGGREGATE(15,6,(ROW(Transactions!$C$6:$C$5000)-ROW(Transactions!$C$6)+1)/(Transactions!$C$6:$C$5000=$B$3),ROWS($A$9:A100))))</f>
        <v/>
      </c>
      <c r="H100">
        <f>IF($A100="","",TEXT($A100,"mmm-yyyy"))</f>
        <v/>
      </c>
      <c r="I100">
        <f>IF($A100="","",$B$3)</f>
        <v/>
      </c>
    </row>
    <row r="101">
      <c r="A101" s="16">
        <f>IFERROR(INDEX(Transactions!$A$6:$A$5000,AGGREGATE(15,6,(ROW(Transactions!$C$6:$C$5000)-ROW(Transactions!$C$6)+1)/(Transactions!$C$6:$C$5000=$B$3),ROWS($A$9:A101))),"")</f>
        <v/>
      </c>
      <c r="B101">
        <f>IF($A101="","",INDEX(Transactions!$B$6:$B$5000,AGGREGATE(15,6,(ROW(Transactions!$C$6:$C$5000)-ROW(Transactions!$C$6)+1)/(Transactions!$C$6:$C$5000=$B$3),ROWS($A$9:A101))))</f>
        <v/>
      </c>
      <c r="C101">
        <f>IF($A101="","",INDEX(Transactions!$E$6:$E$5000,AGGREGATE(15,6,(ROW(Transactions!$C$6:$C$5000)-ROW(Transactions!$C$6)+1)/(Transactions!$C$6:$C$5000=$B$3),ROWS($A$9:A101))))</f>
        <v/>
      </c>
      <c r="D101" s="7">
        <f>IF($A101="","",INDEX(Transactions!$F$6:$F$5000,AGGREGATE(15,6,(ROW(Transactions!$C$6:$C$5000)-ROW(Transactions!$C$6)+1)/(Transactions!$C$6:$C$5000=$B$3),ROWS($A$9:A101))))</f>
        <v/>
      </c>
      <c r="E101" s="7">
        <f>IF($A101="","",INDEX(Transactions!$G$6:$G$5000,AGGREGATE(15,6,(ROW(Transactions!$C$6:$C$5000)-ROW(Transactions!$C$6)+1)/(Transactions!$C$6:$C$5000=$B$3),ROWS($A$9:A101))))</f>
        <v/>
      </c>
      <c r="F101" s="7">
        <f>IF($A101="","",$B$5+SUM($D$9:D101)-SUM($E$9:E101))</f>
        <v/>
      </c>
      <c r="G101">
        <f>IF($A101="","",INDEX(Transactions!$H$6:$H$5000,AGGREGATE(15,6,(ROW(Transactions!$C$6:$C$5000)-ROW(Transactions!$C$6)+1)/(Transactions!$C$6:$C$5000=$B$3),ROWS($A$9:A101))))</f>
        <v/>
      </c>
      <c r="H101">
        <f>IF($A101="","",TEXT($A101,"mmm-yyyy"))</f>
        <v/>
      </c>
      <c r="I101">
        <f>IF($A101="","",$B$3)</f>
        <v/>
      </c>
    </row>
    <row r="102">
      <c r="A102" s="16">
        <f>IFERROR(INDEX(Transactions!$A$6:$A$5000,AGGREGATE(15,6,(ROW(Transactions!$C$6:$C$5000)-ROW(Transactions!$C$6)+1)/(Transactions!$C$6:$C$5000=$B$3),ROWS($A$9:A102))),"")</f>
        <v/>
      </c>
      <c r="B102">
        <f>IF($A102="","",INDEX(Transactions!$B$6:$B$5000,AGGREGATE(15,6,(ROW(Transactions!$C$6:$C$5000)-ROW(Transactions!$C$6)+1)/(Transactions!$C$6:$C$5000=$B$3),ROWS($A$9:A102))))</f>
        <v/>
      </c>
      <c r="C102">
        <f>IF($A102="","",INDEX(Transactions!$E$6:$E$5000,AGGREGATE(15,6,(ROW(Transactions!$C$6:$C$5000)-ROW(Transactions!$C$6)+1)/(Transactions!$C$6:$C$5000=$B$3),ROWS($A$9:A102))))</f>
        <v/>
      </c>
      <c r="D102" s="7">
        <f>IF($A102="","",INDEX(Transactions!$F$6:$F$5000,AGGREGATE(15,6,(ROW(Transactions!$C$6:$C$5000)-ROW(Transactions!$C$6)+1)/(Transactions!$C$6:$C$5000=$B$3),ROWS($A$9:A102))))</f>
        <v/>
      </c>
      <c r="E102" s="7">
        <f>IF($A102="","",INDEX(Transactions!$G$6:$G$5000,AGGREGATE(15,6,(ROW(Transactions!$C$6:$C$5000)-ROW(Transactions!$C$6)+1)/(Transactions!$C$6:$C$5000=$B$3),ROWS($A$9:A102))))</f>
        <v/>
      </c>
      <c r="F102" s="7">
        <f>IF($A102="","",$B$5+SUM($D$9:D102)-SUM($E$9:E102))</f>
        <v/>
      </c>
      <c r="G102">
        <f>IF($A102="","",INDEX(Transactions!$H$6:$H$5000,AGGREGATE(15,6,(ROW(Transactions!$C$6:$C$5000)-ROW(Transactions!$C$6)+1)/(Transactions!$C$6:$C$5000=$B$3),ROWS($A$9:A102))))</f>
        <v/>
      </c>
      <c r="H102">
        <f>IF($A102="","",TEXT($A102,"mmm-yyyy"))</f>
        <v/>
      </c>
      <c r="I102">
        <f>IF($A102="","",$B$3)</f>
        <v/>
      </c>
    </row>
    <row r="103">
      <c r="A103" s="16">
        <f>IFERROR(INDEX(Transactions!$A$6:$A$5000,AGGREGATE(15,6,(ROW(Transactions!$C$6:$C$5000)-ROW(Transactions!$C$6)+1)/(Transactions!$C$6:$C$5000=$B$3),ROWS($A$9:A103))),"")</f>
        <v/>
      </c>
      <c r="B103">
        <f>IF($A103="","",INDEX(Transactions!$B$6:$B$5000,AGGREGATE(15,6,(ROW(Transactions!$C$6:$C$5000)-ROW(Transactions!$C$6)+1)/(Transactions!$C$6:$C$5000=$B$3),ROWS($A$9:A103))))</f>
        <v/>
      </c>
      <c r="C103">
        <f>IF($A103="","",INDEX(Transactions!$E$6:$E$5000,AGGREGATE(15,6,(ROW(Transactions!$C$6:$C$5000)-ROW(Transactions!$C$6)+1)/(Transactions!$C$6:$C$5000=$B$3),ROWS($A$9:A103))))</f>
        <v/>
      </c>
      <c r="D103" s="7">
        <f>IF($A103="","",INDEX(Transactions!$F$6:$F$5000,AGGREGATE(15,6,(ROW(Transactions!$C$6:$C$5000)-ROW(Transactions!$C$6)+1)/(Transactions!$C$6:$C$5000=$B$3),ROWS($A$9:A103))))</f>
        <v/>
      </c>
      <c r="E103" s="7">
        <f>IF($A103="","",INDEX(Transactions!$G$6:$G$5000,AGGREGATE(15,6,(ROW(Transactions!$C$6:$C$5000)-ROW(Transactions!$C$6)+1)/(Transactions!$C$6:$C$5000=$B$3),ROWS($A$9:A103))))</f>
        <v/>
      </c>
      <c r="F103" s="7">
        <f>IF($A103="","",$B$5+SUM($D$9:D103)-SUM($E$9:E103))</f>
        <v/>
      </c>
      <c r="G103">
        <f>IF($A103="","",INDEX(Transactions!$H$6:$H$5000,AGGREGATE(15,6,(ROW(Transactions!$C$6:$C$5000)-ROW(Transactions!$C$6)+1)/(Transactions!$C$6:$C$5000=$B$3),ROWS($A$9:A103))))</f>
        <v/>
      </c>
      <c r="H103">
        <f>IF($A103="","",TEXT($A103,"mmm-yyyy"))</f>
        <v/>
      </c>
      <c r="I103">
        <f>IF($A103="","",$B$3)</f>
        <v/>
      </c>
    </row>
    <row r="104">
      <c r="A104" s="16">
        <f>IFERROR(INDEX(Transactions!$A$6:$A$5000,AGGREGATE(15,6,(ROW(Transactions!$C$6:$C$5000)-ROW(Transactions!$C$6)+1)/(Transactions!$C$6:$C$5000=$B$3),ROWS($A$9:A104))),"")</f>
        <v/>
      </c>
      <c r="B104">
        <f>IF($A104="","",INDEX(Transactions!$B$6:$B$5000,AGGREGATE(15,6,(ROW(Transactions!$C$6:$C$5000)-ROW(Transactions!$C$6)+1)/(Transactions!$C$6:$C$5000=$B$3),ROWS($A$9:A104))))</f>
        <v/>
      </c>
      <c r="C104">
        <f>IF($A104="","",INDEX(Transactions!$E$6:$E$5000,AGGREGATE(15,6,(ROW(Transactions!$C$6:$C$5000)-ROW(Transactions!$C$6)+1)/(Transactions!$C$6:$C$5000=$B$3),ROWS($A$9:A104))))</f>
        <v/>
      </c>
      <c r="D104" s="7">
        <f>IF($A104="","",INDEX(Transactions!$F$6:$F$5000,AGGREGATE(15,6,(ROW(Transactions!$C$6:$C$5000)-ROW(Transactions!$C$6)+1)/(Transactions!$C$6:$C$5000=$B$3),ROWS($A$9:A104))))</f>
        <v/>
      </c>
      <c r="E104" s="7">
        <f>IF($A104="","",INDEX(Transactions!$G$6:$G$5000,AGGREGATE(15,6,(ROW(Transactions!$C$6:$C$5000)-ROW(Transactions!$C$6)+1)/(Transactions!$C$6:$C$5000=$B$3),ROWS($A$9:A104))))</f>
        <v/>
      </c>
      <c r="F104" s="7">
        <f>IF($A104="","",$B$5+SUM($D$9:D104)-SUM($E$9:E104))</f>
        <v/>
      </c>
      <c r="G104">
        <f>IF($A104="","",INDEX(Transactions!$H$6:$H$5000,AGGREGATE(15,6,(ROW(Transactions!$C$6:$C$5000)-ROW(Transactions!$C$6)+1)/(Transactions!$C$6:$C$5000=$B$3),ROWS($A$9:A104))))</f>
        <v/>
      </c>
      <c r="H104">
        <f>IF($A104="","",TEXT($A104,"mmm-yyyy"))</f>
        <v/>
      </c>
      <c r="I104">
        <f>IF($A104="","",$B$3)</f>
        <v/>
      </c>
    </row>
    <row r="105">
      <c r="A105" s="16">
        <f>IFERROR(INDEX(Transactions!$A$6:$A$5000,AGGREGATE(15,6,(ROW(Transactions!$C$6:$C$5000)-ROW(Transactions!$C$6)+1)/(Transactions!$C$6:$C$5000=$B$3),ROWS($A$9:A105))),"")</f>
        <v/>
      </c>
      <c r="B105">
        <f>IF($A105="","",INDEX(Transactions!$B$6:$B$5000,AGGREGATE(15,6,(ROW(Transactions!$C$6:$C$5000)-ROW(Transactions!$C$6)+1)/(Transactions!$C$6:$C$5000=$B$3),ROWS($A$9:A105))))</f>
        <v/>
      </c>
      <c r="C105">
        <f>IF($A105="","",INDEX(Transactions!$E$6:$E$5000,AGGREGATE(15,6,(ROW(Transactions!$C$6:$C$5000)-ROW(Transactions!$C$6)+1)/(Transactions!$C$6:$C$5000=$B$3),ROWS($A$9:A105))))</f>
        <v/>
      </c>
      <c r="D105" s="7">
        <f>IF($A105="","",INDEX(Transactions!$F$6:$F$5000,AGGREGATE(15,6,(ROW(Transactions!$C$6:$C$5000)-ROW(Transactions!$C$6)+1)/(Transactions!$C$6:$C$5000=$B$3),ROWS($A$9:A105))))</f>
        <v/>
      </c>
      <c r="E105" s="7">
        <f>IF($A105="","",INDEX(Transactions!$G$6:$G$5000,AGGREGATE(15,6,(ROW(Transactions!$C$6:$C$5000)-ROW(Transactions!$C$6)+1)/(Transactions!$C$6:$C$5000=$B$3),ROWS($A$9:A105))))</f>
        <v/>
      </c>
      <c r="F105" s="7">
        <f>IF($A105="","",$B$5+SUM($D$9:D105)-SUM($E$9:E105))</f>
        <v/>
      </c>
      <c r="G105">
        <f>IF($A105="","",INDEX(Transactions!$H$6:$H$5000,AGGREGATE(15,6,(ROW(Transactions!$C$6:$C$5000)-ROW(Transactions!$C$6)+1)/(Transactions!$C$6:$C$5000=$B$3),ROWS($A$9:A105))))</f>
        <v/>
      </c>
      <c r="H105">
        <f>IF($A105="","",TEXT($A105,"mmm-yyyy"))</f>
        <v/>
      </c>
      <c r="I105">
        <f>IF($A105="","",$B$3)</f>
        <v/>
      </c>
    </row>
    <row r="106">
      <c r="A106" s="16">
        <f>IFERROR(INDEX(Transactions!$A$6:$A$5000,AGGREGATE(15,6,(ROW(Transactions!$C$6:$C$5000)-ROW(Transactions!$C$6)+1)/(Transactions!$C$6:$C$5000=$B$3),ROWS($A$9:A106))),"")</f>
        <v/>
      </c>
      <c r="B106">
        <f>IF($A106="","",INDEX(Transactions!$B$6:$B$5000,AGGREGATE(15,6,(ROW(Transactions!$C$6:$C$5000)-ROW(Transactions!$C$6)+1)/(Transactions!$C$6:$C$5000=$B$3),ROWS($A$9:A106))))</f>
        <v/>
      </c>
      <c r="C106">
        <f>IF($A106="","",INDEX(Transactions!$E$6:$E$5000,AGGREGATE(15,6,(ROW(Transactions!$C$6:$C$5000)-ROW(Transactions!$C$6)+1)/(Transactions!$C$6:$C$5000=$B$3),ROWS($A$9:A106))))</f>
        <v/>
      </c>
      <c r="D106" s="7">
        <f>IF($A106="","",INDEX(Transactions!$F$6:$F$5000,AGGREGATE(15,6,(ROW(Transactions!$C$6:$C$5000)-ROW(Transactions!$C$6)+1)/(Transactions!$C$6:$C$5000=$B$3),ROWS($A$9:A106))))</f>
        <v/>
      </c>
      <c r="E106" s="7">
        <f>IF($A106="","",INDEX(Transactions!$G$6:$G$5000,AGGREGATE(15,6,(ROW(Transactions!$C$6:$C$5000)-ROW(Transactions!$C$6)+1)/(Transactions!$C$6:$C$5000=$B$3),ROWS($A$9:A106))))</f>
        <v/>
      </c>
      <c r="F106" s="7">
        <f>IF($A106="","",$B$5+SUM($D$9:D106)-SUM($E$9:E106))</f>
        <v/>
      </c>
      <c r="G106">
        <f>IF($A106="","",INDEX(Transactions!$H$6:$H$5000,AGGREGATE(15,6,(ROW(Transactions!$C$6:$C$5000)-ROW(Transactions!$C$6)+1)/(Transactions!$C$6:$C$5000=$B$3),ROWS($A$9:A106))))</f>
        <v/>
      </c>
      <c r="H106">
        <f>IF($A106="","",TEXT($A106,"mmm-yyyy"))</f>
        <v/>
      </c>
      <c r="I106">
        <f>IF($A106="","",$B$3)</f>
        <v/>
      </c>
    </row>
    <row r="107">
      <c r="A107" s="16">
        <f>IFERROR(INDEX(Transactions!$A$6:$A$5000,AGGREGATE(15,6,(ROW(Transactions!$C$6:$C$5000)-ROW(Transactions!$C$6)+1)/(Transactions!$C$6:$C$5000=$B$3),ROWS($A$9:A107))),"")</f>
        <v/>
      </c>
      <c r="B107">
        <f>IF($A107="","",INDEX(Transactions!$B$6:$B$5000,AGGREGATE(15,6,(ROW(Transactions!$C$6:$C$5000)-ROW(Transactions!$C$6)+1)/(Transactions!$C$6:$C$5000=$B$3),ROWS($A$9:A107))))</f>
        <v/>
      </c>
      <c r="C107">
        <f>IF($A107="","",INDEX(Transactions!$E$6:$E$5000,AGGREGATE(15,6,(ROW(Transactions!$C$6:$C$5000)-ROW(Transactions!$C$6)+1)/(Transactions!$C$6:$C$5000=$B$3),ROWS($A$9:A107))))</f>
        <v/>
      </c>
      <c r="D107" s="7">
        <f>IF($A107="","",INDEX(Transactions!$F$6:$F$5000,AGGREGATE(15,6,(ROW(Transactions!$C$6:$C$5000)-ROW(Transactions!$C$6)+1)/(Transactions!$C$6:$C$5000=$B$3),ROWS($A$9:A107))))</f>
        <v/>
      </c>
      <c r="E107" s="7">
        <f>IF($A107="","",INDEX(Transactions!$G$6:$G$5000,AGGREGATE(15,6,(ROW(Transactions!$C$6:$C$5000)-ROW(Transactions!$C$6)+1)/(Transactions!$C$6:$C$5000=$B$3),ROWS($A$9:A107))))</f>
        <v/>
      </c>
      <c r="F107" s="7">
        <f>IF($A107="","",$B$5+SUM($D$9:D107)-SUM($E$9:E107))</f>
        <v/>
      </c>
      <c r="G107">
        <f>IF($A107="","",INDEX(Transactions!$H$6:$H$5000,AGGREGATE(15,6,(ROW(Transactions!$C$6:$C$5000)-ROW(Transactions!$C$6)+1)/(Transactions!$C$6:$C$5000=$B$3),ROWS($A$9:A107))))</f>
        <v/>
      </c>
      <c r="H107">
        <f>IF($A107="","",TEXT($A107,"mmm-yyyy"))</f>
        <v/>
      </c>
      <c r="I107">
        <f>IF($A107="","",$B$3)</f>
        <v/>
      </c>
    </row>
    <row r="108">
      <c r="A108" s="16">
        <f>IFERROR(INDEX(Transactions!$A$6:$A$5000,AGGREGATE(15,6,(ROW(Transactions!$C$6:$C$5000)-ROW(Transactions!$C$6)+1)/(Transactions!$C$6:$C$5000=$B$3),ROWS($A$9:A108))),"")</f>
        <v/>
      </c>
      <c r="B108">
        <f>IF($A108="","",INDEX(Transactions!$B$6:$B$5000,AGGREGATE(15,6,(ROW(Transactions!$C$6:$C$5000)-ROW(Transactions!$C$6)+1)/(Transactions!$C$6:$C$5000=$B$3),ROWS($A$9:A108))))</f>
        <v/>
      </c>
      <c r="C108">
        <f>IF($A108="","",INDEX(Transactions!$E$6:$E$5000,AGGREGATE(15,6,(ROW(Transactions!$C$6:$C$5000)-ROW(Transactions!$C$6)+1)/(Transactions!$C$6:$C$5000=$B$3),ROWS($A$9:A108))))</f>
        <v/>
      </c>
      <c r="D108" s="7">
        <f>IF($A108="","",INDEX(Transactions!$F$6:$F$5000,AGGREGATE(15,6,(ROW(Transactions!$C$6:$C$5000)-ROW(Transactions!$C$6)+1)/(Transactions!$C$6:$C$5000=$B$3),ROWS($A$9:A108))))</f>
        <v/>
      </c>
      <c r="E108" s="7">
        <f>IF($A108="","",INDEX(Transactions!$G$6:$G$5000,AGGREGATE(15,6,(ROW(Transactions!$C$6:$C$5000)-ROW(Transactions!$C$6)+1)/(Transactions!$C$6:$C$5000=$B$3),ROWS($A$9:A108))))</f>
        <v/>
      </c>
      <c r="F108" s="7">
        <f>IF($A108="","",$B$5+SUM($D$9:D108)-SUM($E$9:E108))</f>
        <v/>
      </c>
      <c r="G108">
        <f>IF($A108="","",INDEX(Transactions!$H$6:$H$5000,AGGREGATE(15,6,(ROW(Transactions!$C$6:$C$5000)-ROW(Transactions!$C$6)+1)/(Transactions!$C$6:$C$5000=$B$3),ROWS($A$9:A108))))</f>
        <v/>
      </c>
      <c r="H108">
        <f>IF($A108="","",TEXT($A108,"mmm-yyyy"))</f>
        <v/>
      </c>
      <c r="I108">
        <f>IF($A108="","",$B$3)</f>
        <v/>
      </c>
    </row>
  </sheetData>
  <mergeCells count="2">
    <mergeCell ref="A1:I1"/>
    <mergeCell ref="A2:I2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2026-09-15T13:58:09Z</dcterms:created>
  <dcterms:modified xmlns:dcterms="http://purl.org/dc/terms/" xmlns:xsi="http://www.w3.org/2001/XMLSchema-instance" xsi:type="dcterms:W3CDTF">2026-09-15T14:00:25Z</dcterms:modified>
</cp:coreProperties>
</file>