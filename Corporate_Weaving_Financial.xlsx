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Account Summary" sheetId="3" state="visible" r:id="rId3"/>
    <sheet xmlns:r="http://schemas.openxmlformats.org/officeDocument/2006/relationships" name="Pivot Analysis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17365D"/>
      <sz val="16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color rgb="0017365D"/>
      <sz val="12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2F75B5"/>
      </patternFill>
    </fill>
  </fills>
  <borders count="5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pivotButton="0" quotePrefix="0" xfId="0"/>
    <xf numFmtId="0" fontId="0" fillId="0" borderId="4" pivotButton="0" quotePrefix="0" xfId="0"/>
    <xf numFmtId="0" fontId="3" fillId="6" borderId="1" pivotButton="0" quotePrefix="0" xfId="0"/>
    <xf numFmtId="3" fontId="4" fillId="5" borderId="1" pivotButton="0" quotePrefix="0" xfId="0"/>
    <xf numFmtId="10" fontId="4" fillId="5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" fillId="3" borderId="0" pivotButton="0" quotePrefix="0" xfId="0"/>
    <xf numFmtId="0" fontId="5" fillId="7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10" fontId="4" fillId="5" borderId="1" applyAlignment="1" pivotButton="0" quotePrefix="0" xfId="0">
      <alignment horizontal="center"/>
    </xf>
    <xf numFmtId="0" fontId="5" fillId="7" borderId="1" pivotButton="0" quotePrefix="0" xfId="0"/>
    <xf numFmtId="164" fontId="0" fillId="0" borderId="1" applyAlignment="1" pivotButton="0" quotePrefix="0" xfId="0">
      <alignment vertical="center"/>
    </xf>
    <xf numFmtId="0" fontId="1" fillId="2" borderId="0" pivotButton="0" quotePrefix="0" xfId="0"/>
    <xf numFmtId="0" fontId="7" fillId="3" borderId="0" pivotButton="0" quotePrefix="0" xfId="0"/>
    <xf numFmtId="0" fontId="5" fillId="7" borderId="1" applyAlignment="1" pivotButton="0" quotePrefix="0" xfId="0">
      <alignment horizontal="center" wrapText="1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Account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vs Gross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Analysis'!$C$4:$C$8</f>
            </numRef>
          </val>
        </ser>
        <ser>
          <idx val="1"/>
          <order val="1"/>
          <tx>
            <strRef>
              <f>'Pivot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Transactions" displayName="FinTransactions" ref="A4:K34" headerRowCount="1">
  <autoFilter ref="A4:K34"/>
  <tableColumns count="11">
    <tableColumn id="1" name="Txn ID"/>
    <tableColumn id="2" name="Month"/>
    <tableColumn id="3" name="Date"/>
    <tableColumn id="4" name="Department"/>
    <tableColumn id="5" name="Account"/>
    <tableColumn id="6" name="Description"/>
    <tableColumn id="7" name="Qty"/>
    <tableColumn id="8" name="Revenue (PKR)"/>
    <tableColumn id="9" name="Direct Cost (PKR)"/>
    <tableColumn id="10" name="Gross Profit (PKR)"/>
    <tableColumn id="11" name="Net Cash Flow (PK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ountSummary" displayName="AccountSummary" ref="A4:F9" headerRowCount="1">
  <autoFilter ref="A4:F9"/>
  <tableColumns count="6">
    <tableColumn id="1" name="Account"/>
    <tableColumn id="2" name="Revenue (PKR)"/>
    <tableColumn id="3" name="Cost (PKR)"/>
    <tableColumn id="4" name="Net (PKR)"/>
    <tableColumn id="5" name="Share of Cost"/>
    <tableColumn id="6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ivotFinancial" displayName="tblPivotFinancial" ref="A3:E8" headerRowCount="1">
  <autoFilter ref="A3:E8"/>
  <tableColumns count="5">
    <tableColumn id="1" name="Account"/>
    <tableColumn id="2" name="Revenue PKR"/>
    <tableColumn id="3" name="Cost PKR"/>
    <tableColumn id="4" name="Gross Profit PKR"/>
    <tableColumn id="5" name="Margin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3" t="inlineStr">
        <is>
          <t>WEAVING DEPARTMENT | FINANCIAL MANAGEMENT DASHBOARD</t>
        </is>
      </c>
    </row>
    <row r="2">
      <c r="A2" s="22" t="inlineStr">
        <is>
          <t>Corporate reporting pack • Source data + Pivot Analysis + Pivot Charts • Filter controls</t>
        </is>
      </c>
    </row>
    <row r="4">
      <c r="A4" s="15" t="inlineStr">
        <is>
          <t>Revenue PKR</t>
        </is>
      </c>
      <c r="D4" s="15" t="inlineStr">
        <is>
          <t>Direct Cost PKR</t>
        </is>
      </c>
      <c r="G4" s="15" t="inlineStr">
        <is>
          <t>Gross Profit PKR</t>
        </is>
      </c>
      <c r="J4" s="15" t="inlineStr">
        <is>
          <t>Margin %</t>
        </is>
      </c>
    </row>
    <row r="5">
      <c r="A5" s="27">
        <f>SUM(Transactions!H5:H34)</f>
        <v/>
      </c>
      <c r="D5" s="27">
        <f>SUM(Transactions!I5:I34)</f>
        <v/>
      </c>
      <c r="G5" s="27">
        <f>SUM(Transactions!J5:J34)</f>
        <v/>
      </c>
      <c r="J5" s="28">
        <f>IFERROR(SUM(Transactions!J5:J34)/SUM(Transactions!H5:H34),0)</f>
        <v/>
      </c>
    </row>
    <row r="8">
      <c r="A8" s="29" t="inlineStr">
        <is>
          <t>INTERACTIVE FILTER PANEL</t>
        </is>
      </c>
    </row>
    <row r="9">
      <c r="A9" s="15" t="inlineStr">
        <is>
          <t>Month</t>
        </is>
      </c>
      <c r="D9" s="15" t="inlineStr">
        <is>
          <t>Account</t>
        </is>
      </c>
      <c r="G9" s="15" t="inlineStr">
        <is>
          <t>Department</t>
        </is>
      </c>
      <c r="J9" s="15" t="inlineStr">
        <is>
          <t>View</t>
        </is>
      </c>
    </row>
    <row r="10">
      <c r="A10" s="16" t="inlineStr">
        <is>
          <t>All</t>
        </is>
      </c>
      <c r="D10" s="16" t="inlineStr">
        <is>
          <t>All</t>
        </is>
      </c>
      <c r="G10" s="16" t="inlineStr">
        <is>
          <t>All</t>
        </is>
      </c>
      <c r="J10" s="16" t="inlineStr">
        <is>
          <t>All</t>
        </is>
      </c>
    </row>
    <row r="30">
      <c r="A30" s="30" t="inlineStr">
        <is>
          <t>Corporate note: Excel-native PivotTable/Slicer objects cannot be authored by openpyxl itself; this workbook includes Excel Tables, formula-driven Pivot Analysis, native dropdown filter controls, and Pivot Charts as a compatible corporate dashboard.</t>
        </is>
      </c>
    </row>
    <row r="31"/>
  </sheetData>
  <mergeCells count="11">
    <mergeCell ref="A4:B4"/>
    <mergeCell ref="G4:H4"/>
    <mergeCell ref="A2:L2"/>
    <mergeCell ref="J4:K4"/>
    <mergeCell ref="J5:K5"/>
    <mergeCell ref="A1:L1"/>
    <mergeCell ref="D5:E5"/>
    <mergeCell ref="A5:B5"/>
    <mergeCell ref="G5:H5"/>
    <mergeCell ref="D4:E4"/>
    <mergeCell ref="A30:L31"/>
  </mergeCells>
  <dataValidations count="4">
    <dataValidation sqref="A10" showDropDown="0" showInputMessage="0" showErrorMessage="0" allowBlank="0" type="list">
      <formula1>"All,Jan-26,Feb-26,Mar-26,Apr-26,May-26,Jun-26"</formula1>
    </dataValidation>
    <dataValidation sqref="D10" showDropDown="0" showInputMessage="0" showErrorMessage="0" allowBlank="0" type="list">
      <formula1>"All,Grey Yarn,Weaving Production,Job Work,Utilities,Maintenance"</formula1>
    </dataValidation>
    <dataValidation sqref="G10" showDropDown="0" showInputMessage="0" showErrorMessage="0" allowBlank="0" type="list">
      <formula1>"All,Weaving"</formula1>
    </dataValidation>
    <dataValidation sqref="J10" showDropDown="0" showInputMessage="0" showErrorMessage="0" allowBlank="0" type="list">
      <formula1>"All,Revenue,Cost,Profit"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20" customWidth="1" min="5" max="5"/>
    <col width="24" customWidth="1" min="6" max="6"/>
    <col width="10" customWidth="1" min="7" max="7"/>
    <col width="15" customWidth="1" min="8" max="8"/>
    <col width="19" customWidth="1" min="9" max="9"/>
    <col width="20" customWidth="1" min="10" max="10"/>
    <col width="21" customWidth="1" min="11" max="11"/>
  </cols>
  <sheetData>
    <row r="1" ht="30" customHeight="1">
      <c r="A1" s="1" t="inlineStr">
        <is>
          <t>WEAVING DEPARTMENT | FINANCIAL TRANSACTIONS</t>
        </is>
      </c>
    </row>
    <row r="2" ht="22" customHeight="1">
      <c r="A2" s="2" t="inlineStr">
        <is>
          <t>Illustrative entries; replace sample values with approved company records.</t>
        </is>
      </c>
    </row>
    <row r="4">
      <c r="A4" s="8" t="inlineStr">
        <is>
          <t>Txn ID</t>
        </is>
      </c>
      <c r="B4" s="8" t="inlineStr">
        <is>
          <t>Month</t>
        </is>
      </c>
      <c r="C4" s="8" t="inlineStr">
        <is>
          <t>Date</t>
        </is>
      </c>
      <c r="D4" s="8" t="inlineStr">
        <is>
          <t>Department</t>
        </is>
      </c>
      <c r="E4" s="8" t="inlineStr">
        <is>
          <t>Account</t>
        </is>
      </c>
      <c r="F4" s="8" t="inlineStr">
        <is>
          <t>Description</t>
        </is>
      </c>
      <c r="G4" s="8" t="inlineStr">
        <is>
          <t>Qty</t>
        </is>
      </c>
      <c r="H4" s="8" t="inlineStr">
        <is>
          <t>Revenue (PKR)</t>
        </is>
      </c>
      <c r="I4" s="8" t="inlineStr">
        <is>
          <t>Direct Cost (PKR)</t>
        </is>
      </c>
      <c r="J4" s="8" t="inlineStr">
        <is>
          <t>Gross Profit (PKR)</t>
        </is>
      </c>
      <c r="K4" s="8" t="inlineStr">
        <is>
          <t>Net Cash Flow (PKR)</t>
        </is>
      </c>
    </row>
    <row r="5">
      <c r="A5" s="9" t="inlineStr">
        <is>
          <t>TXN-0001</t>
        </is>
      </c>
      <c r="B5" s="9" t="inlineStr">
        <is>
          <t>Jan-26</t>
        </is>
      </c>
      <c r="C5" s="20" t="n">
        <v>46023</v>
      </c>
      <c r="D5" s="9" t="inlineStr">
        <is>
          <t>Weaving</t>
        </is>
      </c>
      <c r="E5" s="9" t="inlineStr">
        <is>
          <t>Grey Yarn</t>
        </is>
      </c>
      <c r="F5" s="9" t="inlineStr">
        <is>
          <t>Sales / production billing</t>
        </is>
      </c>
      <c r="G5" s="9" t="n">
        <v>5392</v>
      </c>
      <c r="H5" s="12" t="n">
        <v>315444</v>
      </c>
      <c r="I5" s="12" t="n">
        <v>318461</v>
      </c>
      <c r="J5" s="12">
        <f>H5-I5</f>
        <v/>
      </c>
      <c r="K5" s="12">
        <f>J5</f>
        <v/>
      </c>
    </row>
    <row r="6">
      <c r="A6" s="9" t="inlineStr">
        <is>
          <t>TXN-0002</t>
        </is>
      </c>
      <c r="B6" s="9" t="inlineStr">
        <is>
          <t>Jan-26</t>
        </is>
      </c>
      <c r="C6" s="20" t="n">
        <v>46028</v>
      </c>
      <c r="D6" s="9" t="inlineStr">
        <is>
          <t>Weaving</t>
        </is>
      </c>
      <c r="E6" s="9" t="inlineStr">
        <is>
          <t>Weaving Production</t>
        </is>
      </c>
      <c r="F6" s="9" t="inlineStr">
        <is>
          <t>Yarn purchase</t>
        </is>
      </c>
      <c r="G6" s="9" t="n">
        <v>1645</v>
      </c>
      <c r="H6" s="12" t="n">
        <v>0</v>
      </c>
      <c r="I6" s="12" t="n">
        <v>409428</v>
      </c>
      <c r="J6" s="12">
        <f>H6-I6</f>
        <v/>
      </c>
      <c r="K6" s="12">
        <f>J6</f>
        <v/>
      </c>
    </row>
    <row r="7">
      <c r="A7" s="9" t="inlineStr">
        <is>
          <t>TXN-0003</t>
        </is>
      </c>
      <c r="B7" s="9" t="inlineStr">
        <is>
          <t>Jan-26</t>
        </is>
      </c>
      <c r="C7" s="20" t="n">
        <v>46033</v>
      </c>
      <c r="D7" s="9" t="inlineStr">
        <is>
          <t>Weaving</t>
        </is>
      </c>
      <c r="E7" s="9" t="inlineStr">
        <is>
          <t>Job Work</t>
        </is>
      </c>
      <c r="F7" s="9" t="inlineStr">
        <is>
          <t>Job-work income</t>
        </is>
      </c>
      <c r="G7" s="9" t="n">
        <v>3401</v>
      </c>
      <c r="H7" s="12" t="n">
        <v>579588</v>
      </c>
      <c r="I7" s="12" t="n">
        <v>309600</v>
      </c>
      <c r="J7" s="12">
        <f>H7-I7</f>
        <v/>
      </c>
      <c r="K7" s="12">
        <f>J7</f>
        <v/>
      </c>
    </row>
    <row r="8">
      <c r="A8" s="9" t="inlineStr">
        <is>
          <t>TXN-0004</t>
        </is>
      </c>
      <c r="B8" s="9" t="inlineStr">
        <is>
          <t>Jan-26</t>
        </is>
      </c>
      <c r="C8" s="20" t="n">
        <v>46038</v>
      </c>
      <c r="D8" s="9" t="inlineStr">
        <is>
          <t>Weaving</t>
        </is>
      </c>
      <c r="E8" s="9" t="inlineStr">
        <is>
          <t>Utilities</t>
        </is>
      </c>
      <c r="F8" s="9" t="inlineStr">
        <is>
          <t>Power expense</t>
        </is>
      </c>
      <c r="G8" s="9" t="n">
        <v>5729</v>
      </c>
      <c r="H8" s="12" t="n">
        <v>0</v>
      </c>
      <c r="I8" s="12" t="n">
        <v>220814</v>
      </c>
      <c r="J8" s="12">
        <f>H8-I8</f>
        <v/>
      </c>
      <c r="K8" s="12">
        <f>J8</f>
        <v/>
      </c>
    </row>
    <row r="9">
      <c r="A9" s="9" t="inlineStr">
        <is>
          <t>TXN-0005</t>
        </is>
      </c>
      <c r="B9" s="9" t="inlineStr">
        <is>
          <t>Jan-26</t>
        </is>
      </c>
      <c r="C9" s="20" t="n">
        <v>46043</v>
      </c>
      <c r="D9" s="9" t="inlineStr">
        <is>
          <t>Weaving</t>
        </is>
      </c>
      <c r="E9" s="9" t="inlineStr">
        <is>
          <t>Maintenance</t>
        </is>
      </c>
      <c r="F9" s="9" t="inlineStr">
        <is>
          <t>Repair expense</t>
        </is>
      </c>
      <c r="G9" s="9" t="n">
        <v>6771</v>
      </c>
      <c r="H9" s="12" t="n">
        <v>0</v>
      </c>
      <c r="I9" s="12" t="n">
        <v>156466</v>
      </c>
      <c r="J9" s="12">
        <f>H9-I9</f>
        <v/>
      </c>
      <c r="K9" s="12">
        <f>J9</f>
        <v/>
      </c>
    </row>
    <row r="10">
      <c r="A10" s="9" t="inlineStr">
        <is>
          <t>TXN-0006</t>
        </is>
      </c>
      <c r="B10" s="9" t="inlineStr">
        <is>
          <t>Feb-26</t>
        </is>
      </c>
      <c r="C10" s="20" t="n">
        <v>46048</v>
      </c>
      <c r="D10" s="9" t="inlineStr">
        <is>
          <t>Weaving</t>
        </is>
      </c>
      <c r="E10" s="9" t="inlineStr">
        <is>
          <t>Grey Yarn</t>
        </is>
      </c>
      <c r="F10" s="9" t="inlineStr">
        <is>
          <t>Sales / production billing</t>
        </is>
      </c>
      <c r="G10" s="9" t="n">
        <v>1375</v>
      </c>
      <c r="H10" s="12" t="n">
        <v>596692</v>
      </c>
      <c r="I10" s="12" t="n">
        <v>239484</v>
      </c>
      <c r="J10" s="12">
        <f>H10-I10</f>
        <v/>
      </c>
      <c r="K10" s="12">
        <f>J10</f>
        <v/>
      </c>
    </row>
    <row r="11">
      <c r="A11" s="9" t="inlineStr">
        <is>
          <t>TXN-0007</t>
        </is>
      </c>
      <c r="B11" s="9" t="inlineStr">
        <is>
          <t>Feb-26</t>
        </is>
      </c>
      <c r="C11" s="20" t="n">
        <v>46053</v>
      </c>
      <c r="D11" s="9" t="inlineStr">
        <is>
          <t>Weaving</t>
        </is>
      </c>
      <c r="E11" s="9" t="inlineStr">
        <is>
          <t>Weaving Production</t>
        </is>
      </c>
      <c r="F11" s="9" t="inlineStr">
        <is>
          <t>Yarn purchase</t>
        </is>
      </c>
      <c r="G11" s="9" t="n">
        <v>7332</v>
      </c>
      <c r="H11" s="12" t="n">
        <v>0</v>
      </c>
      <c r="I11" s="12" t="n">
        <v>271722</v>
      </c>
      <c r="J11" s="12">
        <f>H11-I11</f>
        <v/>
      </c>
      <c r="K11" s="12">
        <f>J11</f>
        <v/>
      </c>
    </row>
    <row r="12">
      <c r="A12" s="9" t="inlineStr">
        <is>
          <t>TXN-0008</t>
        </is>
      </c>
      <c r="B12" s="9" t="inlineStr">
        <is>
          <t>Feb-26</t>
        </is>
      </c>
      <c r="C12" s="20" t="n">
        <v>46058</v>
      </c>
      <c r="D12" s="9" t="inlineStr">
        <is>
          <t>Weaving</t>
        </is>
      </c>
      <c r="E12" s="9" t="inlineStr">
        <is>
          <t>Job Work</t>
        </is>
      </c>
      <c r="F12" s="9" t="inlineStr">
        <is>
          <t>Job-work income</t>
        </is>
      </c>
      <c r="G12" s="9" t="n">
        <v>1653</v>
      </c>
      <c r="H12" s="12" t="n">
        <v>372049</v>
      </c>
      <c r="I12" s="12" t="n">
        <v>172953</v>
      </c>
      <c r="J12" s="12">
        <f>H12-I12</f>
        <v/>
      </c>
      <c r="K12" s="12">
        <f>J12</f>
        <v/>
      </c>
    </row>
    <row r="13">
      <c r="A13" s="9" t="inlineStr">
        <is>
          <t>TXN-0009</t>
        </is>
      </c>
      <c r="B13" s="9" t="inlineStr">
        <is>
          <t>Feb-26</t>
        </is>
      </c>
      <c r="C13" s="20" t="n">
        <v>46063</v>
      </c>
      <c r="D13" s="9" t="inlineStr">
        <is>
          <t>Weaving</t>
        </is>
      </c>
      <c r="E13" s="9" t="inlineStr">
        <is>
          <t>Utilities</t>
        </is>
      </c>
      <c r="F13" s="9" t="inlineStr">
        <is>
          <t>Power expense</t>
        </is>
      </c>
      <c r="G13" s="9" t="n">
        <v>4113</v>
      </c>
      <c r="H13" s="12" t="n">
        <v>0</v>
      </c>
      <c r="I13" s="12" t="n">
        <v>265738</v>
      </c>
      <c r="J13" s="12">
        <f>H13-I13</f>
        <v/>
      </c>
      <c r="K13" s="12">
        <f>J13</f>
        <v/>
      </c>
    </row>
    <row r="14">
      <c r="A14" s="9" t="inlineStr">
        <is>
          <t>TXN-0010</t>
        </is>
      </c>
      <c r="B14" s="9" t="inlineStr">
        <is>
          <t>Feb-26</t>
        </is>
      </c>
      <c r="C14" s="20" t="n">
        <v>46068</v>
      </c>
      <c r="D14" s="9" t="inlineStr">
        <is>
          <t>Weaving</t>
        </is>
      </c>
      <c r="E14" s="9" t="inlineStr">
        <is>
          <t>Maintenance</t>
        </is>
      </c>
      <c r="F14" s="9" t="inlineStr">
        <is>
          <t>Repair expense</t>
        </is>
      </c>
      <c r="G14" s="9" t="n">
        <v>4714</v>
      </c>
      <c r="H14" s="12" t="n">
        <v>0</v>
      </c>
      <c r="I14" s="12" t="n">
        <v>311277</v>
      </c>
      <c r="J14" s="12">
        <f>H14-I14</f>
        <v/>
      </c>
      <c r="K14" s="12">
        <f>J14</f>
        <v/>
      </c>
    </row>
    <row r="15">
      <c r="A15" s="9" t="inlineStr">
        <is>
          <t>TXN-0011</t>
        </is>
      </c>
      <c r="B15" s="9" t="inlineStr">
        <is>
          <t>Mar-26</t>
        </is>
      </c>
      <c r="C15" s="20" t="n">
        <v>46073</v>
      </c>
      <c r="D15" s="9" t="inlineStr">
        <is>
          <t>Weaving</t>
        </is>
      </c>
      <c r="E15" s="9" t="inlineStr">
        <is>
          <t>Grey Yarn</t>
        </is>
      </c>
      <c r="F15" s="9" t="inlineStr">
        <is>
          <t>Sales / production billing</t>
        </is>
      </c>
      <c r="G15" s="9" t="n">
        <v>2332</v>
      </c>
      <c r="H15" s="12" t="n">
        <v>444081</v>
      </c>
      <c r="I15" s="12" t="n">
        <v>306264</v>
      </c>
      <c r="J15" s="12">
        <f>H15-I15</f>
        <v/>
      </c>
      <c r="K15" s="12">
        <f>J15</f>
        <v/>
      </c>
    </row>
    <row r="16">
      <c r="A16" s="9" t="inlineStr">
        <is>
          <t>TXN-0012</t>
        </is>
      </c>
      <c r="B16" s="9" t="inlineStr">
        <is>
          <t>Mar-26</t>
        </is>
      </c>
      <c r="C16" s="20" t="n">
        <v>46078</v>
      </c>
      <c r="D16" s="9" t="inlineStr">
        <is>
          <t>Weaving</t>
        </is>
      </c>
      <c r="E16" s="9" t="inlineStr">
        <is>
          <t>Weaving Production</t>
        </is>
      </c>
      <c r="F16" s="9" t="inlineStr">
        <is>
          <t>Yarn purchase</t>
        </is>
      </c>
      <c r="G16" s="9" t="n">
        <v>2716</v>
      </c>
      <c r="H16" s="12" t="n">
        <v>0</v>
      </c>
      <c r="I16" s="12" t="n">
        <v>259973</v>
      </c>
      <c r="J16" s="12">
        <f>H16-I16</f>
        <v/>
      </c>
      <c r="K16" s="12">
        <f>J16</f>
        <v/>
      </c>
    </row>
    <row r="17">
      <c r="A17" s="9" t="inlineStr">
        <is>
          <t>TXN-0013</t>
        </is>
      </c>
      <c r="B17" s="9" t="inlineStr">
        <is>
          <t>Mar-26</t>
        </is>
      </c>
      <c r="C17" s="20" t="n">
        <v>46083</v>
      </c>
      <c r="D17" s="9" t="inlineStr">
        <is>
          <t>Weaving</t>
        </is>
      </c>
      <c r="E17" s="9" t="inlineStr">
        <is>
          <t>Job Work</t>
        </is>
      </c>
      <c r="F17" s="9" t="inlineStr">
        <is>
          <t>Job-work income</t>
        </is>
      </c>
      <c r="G17" s="9" t="n">
        <v>6749</v>
      </c>
      <c r="H17" s="12" t="n">
        <v>608375</v>
      </c>
      <c r="I17" s="12" t="n">
        <v>157435</v>
      </c>
      <c r="J17" s="12">
        <f>H17-I17</f>
        <v/>
      </c>
      <c r="K17" s="12">
        <f>J17</f>
        <v/>
      </c>
    </row>
    <row r="18">
      <c r="A18" s="9" t="inlineStr">
        <is>
          <t>TXN-0014</t>
        </is>
      </c>
      <c r="B18" s="9" t="inlineStr">
        <is>
          <t>Mar-26</t>
        </is>
      </c>
      <c r="C18" s="20" t="n">
        <v>46088</v>
      </c>
      <c r="D18" s="9" t="inlineStr">
        <is>
          <t>Weaving</t>
        </is>
      </c>
      <c r="E18" s="9" t="inlineStr">
        <is>
          <t>Utilities</t>
        </is>
      </c>
      <c r="F18" s="9" t="inlineStr">
        <is>
          <t>Power expense</t>
        </is>
      </c>
      <c r="G18" s="9" t="n">
        <v>5990</v>
      </c>
      <c r="H18" s="12" t="n">
        <v>0</v>
      </c>
      <c r="I18" s="12" t="n">
        <v>209725</v>
      </c>
      <c r="J18" s="12">
        <f>H18-I18</f>
        <v/>
      </c>
      <c r="K18" s="12">
        <f>J18</f>
        <v/>
      </c>
    </row>
    <row r="19">
      <c r="A19" s="9" t="inlineStr">
        <is>
          <t>TXN-0015</t>
        </is>
      </c>
      <c r="B19" s="9" t="inlineStr">
        <is>
          <t>Mar-26</t>
        </is>
      </c>
      <c r="C19" s="20" t="n">
        <v>46093</v>
      </c>
      <c r="D19" s="9" t="inlineStr">
        <is>
          <t>Weaving</t>
        </is>
      </c>
      <c r="E19" s="9" t="inlineStr">
        <is>
          <t>Maintenance</t>
        </is>
      </c>
      <c r="F19" s="9" t="inlineStr">
        <is>
          <t>Repair expense</t>
        </is>
      </c>
      <c r="G19" s="9" t="n">
        <v>5375</v>
      </c>
      <c r="H19" s="12" t="n">
        <v>0</v>
      </c>
      <c r="I19" s="12" t="n">
        <v>248351</v>
      </c>
      <c r="J19" s="12">
        <f>H19-I19</f>
        <v/>
      </c>
      <c r="K19" s="12">
        <f>J19</f>
        <v/>
      </c>
    </row>
    <row r="20">
      <c r="A20" s="9" t="inlineStr">
        <is>
          <t>TXN-0016</t>
        </is>
      </c>
      <c r="B20" s="9" t="inlineStr">
        <is>
          <t>Apr-26</t>
        </is>
      </c>
      <c r="C20" s="20" t="n">
        <v>46098</v>
      </c>
      <c r="D20" s="9" t="inlineStr">
        <is>
          <t>Weaving</t>
        </is>
      </c>
      <c r="E20" s="9" t="inlineStr">
        <is>
          <t>Grey Yarn</t>
        </is>
      </c>
      <c r="F20" s="9" t="inlineStr">
        <is>
          <t>Sales / production billing</t>
        </is>
      </c>
      <c r="G20" s="9" t="n">
        <v>2338</v>
      </c>
      <c r="H20" s="12" t="n">
        <v>492357</v>
      </c>
      <c r="I20" s="12" t="n">
        <v>318943</v>
      </c>
      <c r="J20" s="12">
        <f>H20-I20</f>
        <v/>
      </c>
      <c r="K20" s="12">
        <f>J20</f>
        <v/>
      </c>
    </row>
    <row r="21">
      <c r="A21" s="9" t="inlineStr">
        <is>
          <t>TXN-0017</t>
        </is>
      </c>
      <c r="B21" s="9" t="inlineStr">
        <is>
          <t>Apr-26</t>
        </is>
      </c>
      <c r="C21" s="20" t="n">
        <v>46103</v>
      </c>
      <c r="D21" s="9" t="inlineStr">
        <is>
          <t>Weaving</t>
        </is>
      </c>
      <c r="E21" s="9" t="inlineStr">
        <is>
          <t>Weaving Production</t>
        </is>
      </c>
      <c r="F21" s="9" t="inlineStr">
        <is>
          <t>Yarn purchase</t>
        </is>
      </c>
      <c r="G21" s="9" t="n">
        <v>3211</v>
      </c>
      <c r="H21" s="12" t="n">
        <v>0</v>
      </c>
      <c r="I21" s="12" t="n">
        <v>412002</v>
      </c>
      <c r="J21" s="12">
        <f>H21-I21</f>
        <v/>
      </c>
      <c r="K21" s="12">
        <f>J21</f>
        <v/>
      </c>
    </row>
    <row r="22">
      <c r="A22" s="9" t="inlineStr">
        <is>
          <t>TXN-0018</t>
        </is>
      </c>
      <c r="B22" s="9" t="inlineStr">
        <is>
          <t>Apr-26</t>
        </is>
      </c>
      <c r="C22" s="20" t="n">
        <v>46108</v>
      </c>
      <c r="D22" s="9" t="inlineStr">
        <is>
          <t>Weaving</t>
        </is>
      </c>
      <c r="E22" s="9" t="inlineStr">
        <is>
          <t>Job Work</t>
        </is>
      </c>
      <c r="F22" s="9" t="inlineStr">
        <is>
          <t>Job-work income</t>
        </is>
      </c>
      <c r="G22" s="9" t="n">
        <v>2799</v>
      </c>
      <c r="H22" s="12" t="n">
        <v>608935</v>
      </c>
      <c r="I22" s="12" t="n">
        <v>290017</v>
      </c>
      <c r="J22" s="12">
        <f>H22-I22</f>
        <v/>
      </c>
      <c r="K22" s="12">
        <f>J22</f>
        <v/>
      </c>
    </row>
    <row r="23">
      <c r="A23" s="9" t="inlineStr">
        <is>
          <t>TXN-0019</t>
        </is>
      </c>
      <c r="B23" s="9" t="inlineStr">
        <is>
          <t>Apr-26</t>
        </is>
      </c>
      <c r="C23" s="20" t="n">
        <v>46113</v>
      </c>
      <c r="D23" s="9" t="inlineStr">
        <is>
          <t>Weaving</t>
        </is>
      </c>
      <c r="E23" s="9" t="inlineStr">
        <is>
          <t>Utilities</t>
        </is>
      </c>
      <c r="F23" s="9" t="inlineStr">
        <is>
          <t>Power expense</t>
        </is>
      </c>
      <c r="G23" s="9" t="n">
        <v>7904</v>
      </c>
      <c r="H23" s="12" t="n">
        <v>0</v>
      </c>
      <c r="I23" s="12" t="n">
        <v>149327</v>
      </c>
      <c r="J23" s="12">
        <f>H23-I23</f>
        <v/>
      </c>
      <c r="K23" s="12">
        <f>J23</f>
        <v/>
      </c>
    </row>
    <row r="24">
      <c r="A24" s="9" t="inlineStr">
        <is>
          <t>TXN-0020</t>
        </is>
      </c>
      <c r="B24" s="9" t="inlineStr">
        <is>
          <t>Apr-26</t>
        </is>
      </c>
      <c r="C24" s="20" t="n">
        <v>46118</v>
      </c>
      <c r="D24" s="9" t="inlineStr">
        <is>
          <t>Weaving</t>
        </is>
      </c>
      <c r="E24" s="9" t="inlineStr">
        <is>
          <t>Maintenance</t>
        </is>
      </c>
      <c r="F24" s="9" t="inlineStr">
        <is>
          <t>Repair expense</t>
        </is>
      </c>
      <c r="G24" s="9" t="n">
        <v>2876</v>
      </c>
      <c r="H24" s="12" t="n">
        <v>0</v>
      </c>
      <c r="I24" s="12" t="n">
        <v>136829</v>
      </c>
      <c r="J24" s="12">
        <f>H24-I24</f>
        <v/>
      </c>
      <c r="K24" s="12">
        <f>J24</f>
        <v/>
      </c>
    </row>
    <row r="25">
      <c r="A25" s="9" t="inlineStr">
        <is>
          <t>TXN-0021</t>
        </is>
      </c>
      <c r="B25" s="9" t="inlineStr">
        <is>
          <t>May-26</t>
        </is>
      </c>
      <c r="C25" s="20" t="n">
        <v>46123</v>
      </c>
      <c r="D25" s="9" t="inlineStr">
        <is>
          <t>Weaving</t>
        </is>
      </c>
      <c r="E25" s="9" t="inlineStr">
        <is>
          <t>Grey Yarn</t>
        </is>
      </c>
      <c r="F25" s="9" t="inlineStr">
        <is>
          <t>Sales / production billing</t>
        </is>
      </c>
      <c r="G25" s="9" t="n">
        <v>7594</v>
      </c>
      <c r="H25" s="12" t="n">
        <v>415388</v>
      </c>
      <c r="I25" s="12" t="n">
        <v>330325</v>
      </c>
      <c r="J25" s="12">
        <f>H25-I25</f>
        <v/>
      </c>
      <c r="K25" s="12">
        <f>J25</f>
        <v/>
      </c>
    </row>
    <row r="26">
      <c r="A26" s="9" t="inlineStr">
        <is>
          <t>TXN-0022</t>
        </is>
      </c>
      <c r="B26" s="9" t="inlineStr">
        <is>
          <t>May-26</t>
        </is>
      </c>
      <c r="C26" s="20" t="n">
        <v>46128</v>
      </c>
      <c r="D26" s="9" t="inlineStr">
        <is>
          <t>Weaving</t>
        </is>
      </c>
      <c r="E26" s="9" t="inlineStr">
        <is>
          <t>Weaving Production</t>
        </is>
      </c>
      <c r="F26" s="9" t="inlineStr">
        <is>
          <t>Yarn purchase</t>
        </is>
      </c>
      <c r="G26" s="9" t="n">
        <v>3193</v>
      </c>
      <c r="H26" s="12" t="n">
        <v>0</v>
      </c>
      <c r="I26" s="12" t="n">
        <v>154701</v>
      </c>
      <c r="J26" s="12">
        <f>H26-I26</f>
        <v/>
      </c>
      <c r="K26" s="12">
        <f>J26</f>
        <v/>
      </c>
    </row>
    <row r="27">
      <c r="A27" s="9" t="inlineStr">
        <is>
          <t>TXN-0023</t>
        </is>
      </c>
      <c r="B27" s="9" t="inlineStr">
        <is>
          <t>May-26</t>
        </is>
      </c>
      <c r="C27" s="20" t="n">
        <v>46133</v>
      </c>
      <c r="D27" s="9" t="inlineStr">
        <is>
          <t>Weaving</t>
        </is>
      </c>
      <c r="E27" s="9" t="inlineStr">
        <is>
          <t>Job Work</t>
        </is>
      </c>
      <c r="F27" s="9" t="inlineStr">
        <is>
          <t>Job-work income</t>
        </is>
      </c>
      <c r="G27" s="9" t="n">
        <v>2728</v>
      </c>
      <c r="H27" s="12" t="n">
        <v>547365</v>
      </c>
      <c r="I27" s="12" t="n">
        <v>284981</v>
      </c>
      <c r="J27" s="12">
        <f>H27-I27</f>
        <v/>
      </c>
      <c r="K27" s="12">
        <f>J27</f>
        <v/>
      </c>
    </row>
    <row r="28">
      <c r="A28" s="9" t="inlineStr">
        <is>
          <t>TXN-0024</t>
        </is>
      </c>
      <c r="B28" s="9" t="inlineStr">
        <is>
          <t>May-26</t>
        </is>
      </c>
      <c r="C28" s="20" t="n">
        <v>46138</v>
      </c>
      <c r="D28" s="9" t="inlineStr">
        <is>
          <t>Weaving</t>
        </is>
      </c>
      <c r="E28" s="9" t="inlineStr">
        <is>
          <t>Utilities</t>
        </is>
      </c>
      <c r="F28" s="9" t="inlineStr">
        <is>
          <t>Power expense</t>
        </is>
      </c>
      <c r="G28" s="9" t="n">
        <v>2741</v>
      </c>
      <c r="H28" s="12" t="n">
        <v>0</v>
      </c>
      <c r="I28" s="12" t="n">
        <v>381740</v>
      </c>
      <c r="J28" s="12">
        <f>H28-I28</f>
        <v/>
      </c>
      <c r="K28" s="12">
        <f>J28</f>
        <v/>
      </c>
    </row>
    <row r="29">
      <c r="A29" s="9" t="inlineStr">
        <is>
          <t>TXN-0025</t>
        </is>
      </c>
      <c r="B29" s="9" t="inlineStr">
        <is>
          <t>May-26</t>
        </is>
      </c>
      <c r="C29" s="20" t="n">
        <v>46143</v>
      </c>
      <c r="D29" s="9" t="inlineStr">
        <is>
          <t>Weaving</t>
        </is>
      </c>
      <c r="E29" s="9" t="inlineStr">
        <is>
          <t>Maintenance</t>
        </is>
      </c>
      <c r="F29" s="9" t="inlineStr">
        <is>
          <t>Repair expense</t>
        </is>
      </c>
      <c r="G29" s="9" t="n">
        <v>4241</v>
      </c>
      <c r="H29" s="12" t="n">
        <v>0</v>
      </c>
      <c r="I29" s="12" t="n">
        <v>360570</v>
      </c>
      <c r="J29" s="12">
        <f>H29-I29</f>
        <v/>
      </c>
      <c r="K29" s="12">
        <f>J29</f>
        <v/>
      </c>
    </row>
    <row r="30">
      <c r="A30" s="9" t="inlineStr">
        <is>
          <t>TXN-0026</t>
        </is>
      </c>
      <c r="B30" s="9" t="inlineStr">
        <is>
          <t>Jun-26</t>
        </is>
      </c>
      <c r="C30" s="20" t="n">
        <v>46148</v>
      </c>
      <c r="D30" s="9" t="inlineStr">
        <is>
          <t>Weaving</t>
        </is>
      </c>
      <c r="E30" s="9" t="inlineStr">
        <is>
          <t>Grey Yarn</t>
        </is>
      </c>
      <c r="F30" s="9" t="inlineStr">
        <is>
          <t>Sales / production billing</t>
        </is>
      </c>
      <c r="G30" s="9" t="n">
        <v>2170</v>
      </c>
      <c r="H30" s="12" t="n">
        <v>388873</v>
      </c>
      <c r="I30" s="12" t="n">
        <v>193206</v>
      </c>
      <c r="J30" s="12">
        <f>H30-I30</f>
        <v/>
      </c>
      <c r="K30" s="12">
        <f>J30</f>
        <v/>
      </c>
    </row>
    <row r="31">
      <c r="A31" s="9" t="inlineStr">
        <is>
          <t>TXN-0027</t>
        </is>
      </c>
      <c r="B31" s="9" t="inlineStr">
        <is>
          <t>Jun-26</t>
        </is>
      </c>
      <c r="C31" s="20" t="n">
        <v>46153</v>
      </c>
      <c r="D31" s="9" t="inlineStr">
        <is>
          <t>Weaving</t>
        </is>
      </c>
      <c r="E31" s="9" t="inlineStr">
        <is>
          <t>Weaving Production</t>
        </is>
      </c>
      <c r="F31" s="9" t="inlineStr">
        <is>
          <t>Yarn purchase</t>
        </is>
      </c>
      <c r="G31" s="9" t="n">
        <v>3020</v>
      </c>
      <c r="H31" s="12" t="n">
        <v>0</v>
      </c>
      <c r="I31" s="12" t="n">
        <v>414318</v>
      </c>
      <c r="J31" s="12">
        <f>H31-I31</f>
        <v/>
      </c>
      <c r="K31" s="12">
        <f>J31</f>
        <v/>
      </c>
    </row>
    <row r="32">
      <c r="A32" s="9" t="inlineStr">
        <is>
          <t>TXN-0028</t>
        </is>
      </c>
      <c r="B32" s="9" t="inlineStr">
        <is>
          <t>Jun-26</t>
        </is>
      </c>
      <c r="C32" s="20" t="n">
        <v>46158</v>
      </c>
      <c r="D32" s="9" t="inlineStr">
        <is>
          <t>Weaving</t>
        </is>
      </c>
      <c r="E32" s="9" t="inlineStr">
        <is>
          <t>Job Work</t>
        </is>
      </c>
      <c r="F32" s="9" t="inlineStr">
        <is>
          <t>Job-work income</t>
        </is>
      </c>
      <c r="G32" s="9" t="n">
        <v>5415</v>
      </c>
      <c r="H32" s="12" t="n">
        <v>387752</v>
      </c>
      <c r="I32" s="12" t="n">
        <v>344622</v>
      </c>
      <c r="J32" s="12">
        <f>H32-I32</f>
        <v/>
      </c>
      <c r="K32" s="12">
        <f>J32</f>
        <v/>
      </c>
    </row>
    <row r="33">
      <c r="A33" s="9" t="inlineStr">
        <is>
          <t>TXN-0029</t>
        </is>
      </c>
      <c r="B33" s="9" t="inlineStr">
        <is>
          <t>Jun-26</t>
        </is>
      </c>
      <c r="C33" s="20" t="n">
        <v>46163</v>
      </c>
      <c r="D33" s="9" t="inlineStr">
        <is>
          <t>Weaving</t>
        </is>
      </c>
      <c r="E33" s="9" t="inlineStr">
        <is>
          <t>Utilities</t>
        </is>
      </c>
      <c r="F33" s="9" t="inlineStr">
        <is>
          <t>Power expense</t>
        </is>
      </c>
      <c r="G33" s="9" t="n">
        <v>8354</v>
      </c>
      <c r="H33" s="12" t="n">
        <v>0</v>
      </c>
      <c r="I33" s="12" t="n">
        <v>329400</v>
      </c>
      <c r="J33" s="12">
        <f>H33-I33</f>
        <v/>
      </c>
      <c r="K33" s="12">
        <f>J33</f>
        <v/>
      </c>
    </row>
    <row r="34">
      <c r="A34" s="9" t="inlineStr">
        <is>
          <t>TXN-0030</t>
        </is>
      </c>
      <c r="B34" s="9" t="inlineStr">
        <is>
          <t>Jun-26</t>
        </is>
      </c>
      <c r="C34" s="20" t="n">
        <v>46168</v>
      </c>
      <c r="D34" s="9" t="inlineStr">
        <is>
          <t>Weaving</t>
        </is>
      </c>
      <c r="E34" s="9" t="inlineStr">
        <is>
          <t>Maintenance</t>
        </is>
      </c>
      <c r="F34" s="9" t="inlineStr">
        <is>
          <t>Repair expense</t>
        </is>
      </c>
      <c r="G34" s="9" t="n">
        <v>3965</v>
      </c>
      <c r="H34" s="12" t="n">
        <v>0</v>
      </c>
      <c r="I34" s="12" t="n">
        <v>234987</v>
      </c>
      <c r="J34" s="12">
        <f>H34-I34</f>
        <v/>
      </c>
      <c r="K34" s="12">
        <f>J34</f>
        <v/>
      </c>
    </row>
  </sheetData>
  <mergeCells count="2">
    <mergeCell ref="A2:K2"/>
    <mergeCell ref="A1:K1"/>
  </mergeCells>
  <conditionalFormatting sqref="J5:J34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1" customWidth="1" min="4" max="4"/>
    <col width="24" customWidth="1" min="5" max="5"/>
    <col width="24" customWidth="1" min="6" max="6"/>
  </cols>
  <sheetData>
    <row r="1" ht="30" customHeight="1">
      <c r="A1" s="1" t="inlineStr">
        <is>
          <t>WEAVING DEPARTMENT | ACCOUNT SUMMARY</t>
        </is>
      </c>
    </row>
    <row r="2" ht="22" customHeight="1">
      <c r="A2" s="2" t="inlineStr">
        <is>
          <t>Formula-driven summary using SUMIFS.</t>
        </is>
      </c>
    </row>
    <row r="4">
      <c r="A4" s="8" t="inlineStr">
        <is>
          <t>Account</t>
        </is>
      </c>
      <c r="B4" s="8" t="inlineStr">
        <is>
          <t>Revenue (PKR)</t>
        </is>
      </c>
      <c r="C4" s="8" t="inlineStr">
        <is>
          <t>Cost (PKR)</t>
        </is>
      </c>
      <c r="D4" s="8" t="inlineStr">
        <is>
          <t>Net (PKR)</t>
        </is>
      </c>
      <c r="E4" s="8" t="inlineStr">
        <is>
          <t>Share of Cost</t>
        </is>
      </c>
      <c r="F4" s="8" t="inlineStr">
        <is>
          <t>Status</t>
        </is>
      </c>
    </row>
    <row r="5">
      <c r="A5" s="9" t="inlineStr">
        <is>
          <t>Grey Yarn</t>
        </is>
      </c>
      <c r="B5" s="9">
        <f>SUMIFS(Transactions!$H$5:$H$34,Transactions!$E$5:$E$34,A5)</f>
        <v/>
      </c>
      <c r="C5" s="9">
        <f>SUMIFS(Transactions!$I$5:$I$34,Transactions!$E$5:$E$34,A5)</f>
        <v/>
      </c>
      <c r="D5" s="9">
        <f>B5-C5</f>
        <v/>
      </c>
      <c r="E5" s="10">
        <f>IFERROR(C5/SUM($C$5:$C$9),0)</f>
        <v/>
      </c>
      <c r="F5" s="9">
        <f>IF(D5&gt;=0,"Positive","Review")</f>
        <v/>
      </c>
    </row>
    <row r="6">
      <c r="A6" s="9" t="inlineStr">
        <is>
          <t>Weaving Production</t>
        </is>
      </c>
      <c r="B6" s="9">
        <f>SUMIFS(Transactions!$H$5:$H$34,Transactions!$E$5:$E$34,A6)</f>
        <v/>
      </c>
      <c r="C6" s="9">
        <f>SUMIFS(Transactions!$I$5:$I$34,Transactions!$E$5:$E$34,A6)</f>
        <v/>
      </c>
      <c r="D6" s="9">
        <f>B6-C6</f>
        <v/>
      </c>
      <c r="E6" s="10">
        <f>IFERROR(C6/SUM($C$5:$C$9),0)</f>
        <v/>
      </c>
      <c r="F6" s="9">
        <f>IF(D6&gt;=0,"Positive","Review")</f>
        <v/>
      </c>
    </row>
    <row r="7">
      <c r="A7" s="9" t="inlineStr">
        <is>
          <t>Job Work</t>
        </is>
      </c>
      <c r="B7" s="9">
        <f>SUMIFS(Transactions!$H$5:$H$34,Transactions!$E$5:$E$34,A7)</f>
        <v/>
      </c>
      <c r="C7" s="9">
        <f>SUMIFS(Transactions!$I$5:$I$34,Transactions!$E$5:$E$34,A7)</f>
        <v/>
      </c>
      <c r="D7" s="9">
        <f>B7-C7</f>
        <v/>
      </c>
      <c r="E7" s="10">
        <f>IFERROR(C7/SUM($C$5:$C$9),0)</f>
        <v/>
      </c>
      <c r="F7" s="9">
        <f>IF(D7&gt;=0,"Positive","Review")</f>
        <v/>
      </c>
    </row>
    <row r="8">
      <c r="A8" s="9" t="inlineStr">
        <is>
          <t>Utilities</t>
        </is>
      </c>
      <c r="B8" s="9">
        <f>SUMIFS(Transactions!$H$5:$H$34,Transactions!$E$5:$E$34,A8)</f>
        <v/>
      </c>
      <c r="C8" s="9">
        <f>SUMIFS(Transactions!$I$5:$I$34,Transactions!$E$5:$E$34,A8)</f>
        <v/>
      </c>
      <c r="D8" s="9">
        <f>B8-C8</f>
        <v/>
      </c>
      <c r="E8" s="10">
        <f>IFERROR(C8/SUM($C$5:$C$9),0)</f>
        <v/>
      </c>
      <c r="F8" s="9">
        <f>IF(D8&gt;=0,"Positive","Review")</f>
        <v/>
      </c>
    </row>
    <row r="9">
      <c r="A9" s="9" t="inlineStr">
        <is>
          <t>Maintenance</t>
        </is>
      </c>
      <c r="B9" s="9">
        <f>SUMIFS(Transactions!$H$5:$H$34,Transactions!$E$5:$E$34,A9)</f>
        <v/>
      </c>
      <c r="C9" s="9">
        <f>SUMIFS(Transactions!$I$5:$I$34,Transactions!$E$5:$E$34,A9)</f>
        <v/>
      </c>
      <c r="D9" s="9">
        <f>B9-C9</f>
        <v/>
      </c>
      <c r="E9" s="10">
        <f>IFERROR(C9/SUM($C$5:$C$9),0)</f>
        <v/>
      </c>
      <c r="F9" s="9">
        <f>IF(D9&gt;=0,"Positive","Review")</f>
        <v/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1" t="inlineStr">
        <is>
          <t>PIVOT ANALYSIS</t>
        </is>
      </c>
    </row>
    <row r="2">
      <c r="A2" s="31" t="inlineStr">
        <is>
          <t>Management summary tables feeding the dashboard charts.</t>
        </is>
      </c>
    </row>
    <row r="3">
      <c r="A3" s="19" t="inlineStr">
        <is>
          <t>Account</t>
        </is>
      </c>
      <c r="B3" s="19" t="inlineStr">
        <is>
          <t>Revenue PKR</t>
        </is>
      </c>
      <c r="C3" s="19" t="inlineStr">
        <is>
          <t>Cost PKR</t>
        </is>
      </c>
      <c r="D3" s="19" t="inlineStr">
        <is>
          <t>Gross Profit PKR</t>
        </is>
      </c>
      <c r="E3" s="19" t="inlineStr">
        <is>
          <t>Margin %</t>
        </is>
      </c>
    </row>
    <row r="4">
      <c r="A4" s="32" t="inlineStr">
        <is>
          <t>Grey Yarn</t>
        </is>
      </c>
      <c r="B4" s="32">
        <f>SUMIFS(Transactions!H:H,Transactions!E:E,A4)</f>
        <v/>
      </c>
      <c r="C4" s="32">
        <f>SUMIFS(Transactions!I:I,Transactions!E:E,A4)</f>
        <v/>
      </c>
      <c r="D4" s="32">
        <f>B4-C4</f>
        <v/>
      </c>
      <c r="E4" s="32">
        <f>IFERROR(D4/B4,0)</f>
        <v/>
      </c>
    </row>
    <row r="5">
      <c r="A5" s="32" t="inlineStr">
        <is>
          <t>Weaving Production</t>
        </is>
      </c>
      <c r="B5" s="32">
        <f>SUMIFS(Transactions!H:H,Transactions!E:E,A5)</f>
        <v/>
      </c>
      <c r="C5" s="32">
        <f>SUMIFS(Transactions!I:I,Transactions!E:E,A5)</f>
        <v/>
      </c>
      <c r="D5" s="32">
        <f>B5-C5</f>
        <v/>
      </c>
      <c r="E5" s="32">
        <f>IFERROR(D5/B5,0)</f>
        <v/>
      </c>
    </row>
    <row r="6">
      <c r="A6" s="32" t="inlineStr">
        <is>
          <t>Job Work</t>
        </is>
      </c>
      <c r="B6" s="32">
        <f>SUMIFS(Transactions!H:H,Transactions!E:E,A6)</f>
        <v/>
      </c>
      <c r="C6" s="32">
        <f>SUMIFS(Transactions!I:I,Transactions!E:E,A6)</f>
        <v/>
      </c>
      <c r="D6" s="32">
        <f>B6-C6</f>
        <v/>
      </c>
      <c r="E6" s="32">
        <f>IFERROR(D6/B6,0)</f>
        <v/>
      </c>
    </row>
    <row r="7">
      <c r="A7" s="32" t="inlineStr">
        <is>
          <t>Utilities</t>
        </is>
      </c>
      <c r="B7" s="32">
        <f>SUMIFS(Transactions!H:H,Transactions!E:E,A7)</f>
        <v/>
      </c>
      <c r="C7" s="32">
        <f>SUMIFS(Transactions!I:I,Transactions!E:E,A7)</f>
        <v/>
      </c>
      <c r="D7" s="32">
        <f>B7-C7</f>
        <v/>
      </c>
      <c r="E7" s="32">
        <f>IFERROR(D7/B7,0)</f>
        <v/>
      </c>
    </row>
    <row r="8">
      <c r="A8" s="32" t="inlineStr">
        <is>
          <t>Maintenance</t>
        </is>
      </c>
      <c r="B8" s="32">
        <f>SUMIFS(Transactions!H:H,Transactions!E:E,A8)</f>
        <v/>
      </c>
      <c r="C8" s="32">
        <f>SUMIFS(Transactions!I:I,Transactions!E:E,A8)</f>
        <v/>
      </c>
      <c r="D8" s="32">
        <f>B8-C8</f>
        <v/>
      </c>
      <c r="E8" s="32">
        <f>IFERROR(D8/B8,0)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2026-09-15T13:29:50Z</dcterms:created>
  <dcterms:modified xmlns:dcterms="http://purl.org/dc/terms/" xmlns:xsi="http://www.w3.org/2001/XMLSchema-instance" xsi:type="dcterms:W3CDTF">2026-09-15T13:39:52Z</dcterms:modified>
</cp:coreProperties>
</file>