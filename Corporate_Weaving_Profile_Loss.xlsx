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partment Profile" sheetId="2" state="visible" r:id="rId2"/>
    <sheet xmlns:r="http://schemas.openxmlformats.org/officeDocument/2006/relationships" name="Loss Data" sheetId="3" state="visible" r:id="rId3"/>
    <sheet xmlns:r="http://schemas.openxmlformats.org/officeDocument/2006/relationships" name="Pivot Analysis" sheetId="4" state="visible" r:id="rId4"/>
  </sheets>
  <definedNames>
    <definedName name="_xlnm._FilterDatabase" localSheetId="2" hidden="1">'Loss Data'!$A$4:$L$24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7365D"/>
    </font>
    <font>
      <b val="1"/>
      <color rgb="0017365D"/>
      <sz val="16"/>
    </font>
    <font>
      <b val="1"/>
      <color rgb="00FFFFFF"/>
    </font>
    <font>
      <b val="1"/>
      <color rgb="00FFFFFF"/>
      <sz val="20"/>
    </font>
    <font>
      <b val="1"/>
      <color rgb="0017365D"/>
      <sz val="12"/>
    </font>
    <font>
      <color rgb="00666666"/>
      <sz val="8"/>
    </font>
    <font>
      <i val="1"/>
      <color rgb="00666666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2F75B5"/>
      </patternFill>
    </fill>
  </fills>
  <borders count="6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  <border>
      <left/>
      <right/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pivotButton="0" quotePrefix="0" xfId="0"/>
    <xf numFmtId="0" fontId="0" fillId="0" borderId="4" pivotButton="0" quotePrefix="0" xfId="0"/>
    <xf numFmtId="3" fontId="4" fillId="5" borderId="1" pivotButton="0" quotePrefix="0" xfId="0"/>
    <xf numFmtId="10" fontId="4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" fillId="3" borderId="0" pivotButton="0" quotePrefix="0" xfId="0"/>
    <xf numFmtId="0" fontId="5" fillId="6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10" fontId="4" fillId="5" borderId="1" applyAlignment="1" pivotButton="0" quotePrefix="0" xfId="0">
      <alignment horizontal="center"/>
    </xf>
    <xf numFmtId="0" fontId="7" fillId="0" borderId="0" pivotButton="0" quotePrefix="0" xfId="0"/>
    <xf numFmtId="0" fontId="5" fillId="6" borderId="1" pivotButton="0" quotePrefix="0" xfId="0"/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8" fillId="0" borderId="1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vertical="center"/>
    </xf>
    <xf numFmtId="0" fontId="1" fillId="2" borderId="0" pivotButton="0" quotePrefix="0" xfId="0"/>
    <xf numFmtId="0" fontId="9" fillId="3" borderId="0" pivotButton="0" quotePrefix="0" xfId="0"/>
    <xf numFmtId="0" fontId="5" fillId="6" borderId="1" applyAlignment="1" pivotButton="0" quotePrefix="0" xfId="0">
      <alignment horizontal="center" wrapText="1"/>
    </xf>
    <xf numFmtId="0" fontId="3" fillId="0" borderId="0" pivotButton="0" quotePrefix="0" xfId="0"/>
    <xf numFmtId="0" fontId="0" fillId="4" borderId="0" pivotButton="0" quotePrefix="0" xfId="0"/>
    <xf numFmtId="3" fontId="0" fillId="0" borderId="1" pivotButton="0" quotePrefix="0" xfId="0"/>
    <xf numFmtId="10" fontId="0" fillId="0" borderId="0" pivotButton="0" quotePrefix="0" xfId="0"/>
    <xf numFmtId="3" fontId="0" fillId="0" borderId="0" pivotButton="0" quotePrefix="0" xfId="0"/>
    <xf numFmtId="3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Waste by Article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Analysis'!$A$4:$A$7</f>
            </numRef>
          </cat>
          <val>
            <numRef>
              <f>'Pivot Analysis'!$B$4:$B$7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Output vs Waste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Analysis'!$A$4:$A$7</f>
            </numRef>
          </cat>
          <val>
            <numRef>
              <f>'Pivot Analysis'!$C$4:$C$7</f>
            </numRef>
          </val>
        </ser>
        <ser>
          <idx val="1"/>
          <order val="1"/>
          <tx>
            <strRef>
              <f>'Pivot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Analysis'!$A$4:$A$7</f>
            </numRef>
          </cat>
          <val>
            <numRef>
              <f>'Pivot Analysis'!$D$4:$D$7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ossData" displayName="LossData" ref="A4:L24" headerRowCount="1">
  <autoFilter ref="A4:L24"/>
  <tableColumns count="12">
    <tableColumn id="1" name="Date"/>
    <tableColumn id="2" name="Shift"/>
    <tableColumn id="3" name="Loom No."/>
    <tableColumn id="4" name="Article"/>
    <tableColumn id="5" name="Count"/>
    <tableColumn id="6" name="Input M"/>
    <tableColumn id="7" name="Output M"/>
    <tableColumn id="8" name="Waste M"/>
    <tableColumn id="9" name="Standard Loss %"/>
    <tableColumn id="10" name="Actual Loss %"/>
    <tableColumn id="11" name="Efficiency %"/>
    <tableColumn id="12" name="Loss Cost (PK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ivotLoss" displayName="tblPivotLoss" ref="A3:G7" headerRowCount="1">
  <autoFilter ref="A3:G7"/>
  <tableColumns count="7">
    <tableColumn id="1" name="Article"/>
    <tableColumn id="2" name="Input M"/>
    <tableColumn id="3" name="Output M"/>
    <tableColumn id="4" name="Waste M"/>
    <tableColumn id="5" name="Loss %"/>
    <tableColumn id="6" name="Efficiency %"/>
    <tableColumn id="7" name="Loss Cost PK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3" t="inlineStr">
        <is>
          <t>WEAVING DEPARTMENT | LOSS MANAGEMENT DASHBOARD</t>
        </is>
      </c>
    </row>
    <row r="2">
      <c r="A2" s="28" t="inlineStr">
        <is>
          <t>Corporate reporting pack • Source data + Pivot Analysis + Pivot Charts • Filter controls</t>
        </is>
      </c>
    </row>
    <row r="4">
      <c r="A4" s="15" t="inlineStr">
        <is>
          <t>Production M</t>
        </is>
      </c>
      <c r="D4" s="15" t="inlineStr">
        <is>
          <t>Waste M</t>
        </is>
      </c>
      <c r="G4" s="15" t="inlineStr">
        <is>
          <t>Loss %</t>
        </is>
      </c>
      <c r="J4" s="15" t="inlineStr">
        <is>
          <t>Efficiency %</t>
        </is>
      </c>
    </row>
    <row r="5">
      <c r="A5" s="35">
        <f>SUM('Loss Data'!F5:F24)</f>
        <v/>
      </c>
      <c r="D5" s="35">
        <f>SUM('Loss Data'!H5:H24)</f>
        <v/>
      </c>
      <c r="G5" s="36">
        <f>AVERAGE('Loss Data'!J5:J24)</f>
        <v/>
      </c>
      <c r="J5" s="36">
        <f>AVERAGE('Loss Data'!K5:K24)</f>
        <v/>
      </c>
    </row>
    <row r="8">
      <c r="A8" s="19" t="inlineStr">
        <is>
          <t>INTERACTIVE FILTER PANEL</t>
        </is>
      </c>
    </row>
    <row r="9">
      <c r="A9" s="15" t="inlineStr">
        <is>
          <t>Period</t>
        </is>
      </c>
      <c r="D9" s="15" t="inlineStr">
        <is>
          <t>Shift</t>
        </is>
      </c>
      <c r="G9" s="15" t="inlineStr">
        <is>
          <t>Article</t>
        </is>
      </c>
      <c r="J9" s="15" t="inlineStr">
        <is>
          <t>Loom Group</t>
        </is>
      </c>
    </row>
    <row r="10">
      <c r="A10" s="16" t="inlineStr">
        <is>
          <t>All</t>
        </is>
      </c>
      <c r="D10" s="16" t="inlineStr">
        <is>
          <t>All</t>
        </is>
      </c>
      <c r="G10" s="16" t="inlineStr">
        <is>
          <t>All</t>
        </is>
      </c>
      <c r="J10" s="16" t="inlineStr">
        <is>
          <t>All</t>
        </is>
      </c>
    </row>
    <row r="30">
      <c r="A30" s="37" t="inlineStr">
        <is>
          <t>Corporate note: Excel-native PivotTable/Slicer objects cannot be authored by openpyxl itself; this workbook includes Excel Tables, formula-driven Pivot Analysis, native dropdown filter controls, and Pivot Charts as a compatible corporate dashboard.</t>
        </is>
      </c>
    </row>
    <row r="31"/>
  </sheetData>
  <mergeCells count="11">
    <mergeCell ref="A4:B4"/>
    <mergeCell ref="G4:H4"/>
    <mergeCell ref="A2:L2"/>
    <mergeCell ref="J4:K4"/>
    <mergeCell ref="J5:K5"/>
    <mergeCell ref="A1:L1"/>
    <mergeCell ref="D5:E5"/>
    <mergeCell ref="A5:B5"/>
    <mergeCell ref="G5:H5"/>
    <mergeCell ref="D4:E4"/>
    <mergeCell ref="A30:L31"/>
  </mergeCells>
  <dataValidations count="4">
    <dataValidation sqref="A10" showDropDown="0" showInputMessage="0" showErrorMessage="0" allowBlank="0" type="list">
      <formula1>"All,Jan-26,Feb-26,Mar-26,Apr-26,May-26,Jun-26"</formula1>
    </dataValidation>
    <dataValidation sqref="D10" showDropDown="0" showInputMessage="0" showErrorMessage="0" allowBlank="0" type="list">
      <formula1>"All,A,B,C"</formula1>
    </dataValidation>
    <dataValidation sqref="G10" showDropDown="0" showInputMessage="0" showErrorMessage="0" allowBlank="0" type="list">
      <formula1>"All,40s PC,60s PC,30s CVC,20s Cotton"</formula1>
    </dataValidation>
    <dataValidation sqref="J10" showDropDown="0" showInputMessage="0" showErrorMessage="0" allowBlank="0" type="list">
      <formula1>"All,101-104,105-108,109-112"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WEAVING DEPARTMENT | PROFESSIONAL PROFILE</t>
        </is>
      </c>
    </row>
    <row r="2" ht="22" customHeight="1">
      <c r="A2" s="2" t="inlineStr">
        <is>
          <t>Finance-oriented departmental profile aligned with the user's MBA in Finance and Advanced Excel skill set.</t>
        </is>
      </c>
    </row>
    <row r="4">
      <c r="A4" s="10" t="inlineStr">
        <is>
          <t>Prepared For</t>
        </is>
      </c>
      <c r="B4" s="11" t="inlineStr">
        <is>
          <t>Waqar Alvi</t>
        </is>
      </c>
      <c r="C4" s="25" t="n"/>
      <c r="D4" s="25" t="n"/>
      <c r="E4" s="25" t="n"/>
      <c r="F4" s="4" t="n"/>
    </row>
    <row r="5">
      <c r="A5" s="10" t="inlineStr">
        <is>
          <t>Professional Qualification</t>
        </is>
      </c>
      <c r="B5" s="11" t="inlineStr">
        <is>
          <t>MBA in Finance</t>
        </is>
      </c>
      <c r="C5" s="25" t="n"/>
      <c r="D5" s="25" t="n"/>
      <c r="E5" s="25" t="n"/>
      <c r="F5" s="4" t="n"/>
    </row>
    <row r="6">
      <c r="A6" s="10" t="inlineStr">
        <is>
          <t>Functional Area</t>
        </is>
      </c>
      <c r="B6" s="11" t="inlineStr">
        <is>
          <t>Finance / Weaving Department Reporting</t>
        </is>
      </c>
      <c r="C6" s="25" t="n"/>
      <c r="D6" s="25" t="n"/>
      <c r="E6" s="25" t="n"/>
      <c r="F6" s="4" t="n"/>
    </row>
    <row r="7">
      <c r="A7" s="10" t="inlineStr">
        <is>
          <t>Core Reporting Scope</t>
        </is>
      </c>
      <c r="B7" s="11" t="inlineStr">
        <is>
          <t>Production, loss, efficiency, cost monitoring and management reporting</t>
        </is>
      </c>
      <c r="C7" s="25" t="n"/>
      <c r="D7" s="25" t="n"/>
      <c r="E7" s="25" t="n"/>
      <c r="F7" s="4" t="n"/>
    </row>
    <row r="8" ht="42" customHeight="1">
      <c r="A8" s="10" t="inlineStr">
        <is>
          <t>Advanced Excel</t>
        </is>
      </c>
      <c r="B8" s="11" t="inlineStr">
        <is>
          <t>XLOOKUP / VLOOKUP, INDEX+MATCH, SUMIFS, COUNTIFS, Pivot-style summaries, dashboards, validation, conditional formatting</t>
        </is>
      </c>
      <c r="C8" s="25" t="n"/>
      <c r="D8" s="25" t="n"/>
      <c r="E8" s="25" t="n"/>
      <c r="F8" s="4" t="n"/>
    </row>
    <row r="9">
      <c r="A9" s="10" t="inlineStr">
        <is>
          <t>Primary Controls</t>
        </is>
      </c>
      <c r="B9" s="11" t="inlineStr">
        <is>
          <t>Input vs production reconciliation, loss %, efficiency %, cost per meter, variance analysis</t>
        </is>
      </c>
      <c r="C9" s="25" t="n"/>
      <c r="D9" s="25" t="n"/>
      <c r="E9" s="25" t="n"/>
      <c r="F9" s="4" t="n"/>
    </row>
    <row r="10">
      <c r="A10" s="10" t="inlineStr">
        <is>
          <t>Report Frequency</t>
        </is>
      </c>
      <c r="B10" s="11" t="inlineStr">
        <is>
          <t>Daily / Weekly / Monthly</t>
        </is>
      </c>
      <c r="C10" s="25" t="n"/>
      <c r="D10" s="25" t="n"/>
      <c r="E10" s="25" t="n"/>
      <c r="F10" s="4" t="n"/>
    </row>
  </sheetData>
  <mergeCells count="9">
    <mergeCell ref="B4:F4"/>
    <mergeCell ref="A2:F2"/>
    <mergeCell ref="B7:F7"/>
    <mergeCell ref="B6:F6"/>
    <mergeCell ref="B10:F10"/>
    <mergeCell ref="A1:F1"/>
    <mergeCell ref="B5:F5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20" customWidth="1" min="9" max="9"/>
    <col width="15" customWidth="1" min="10" max="10"/>
    <col width="14" customWidth="1" min="11" max="11"/>
    <col width="17" customWidth="1" min="12" max="12"/>
  </cols>
  <sheetData>
    <row r="1" ht="30" customHeight="1">
      <c r="A1" s="1" t="inlineStr">
        <is>
          <t>WEAVING DEPARTMENT | LOSS ANALYSIS</t>
        </is>
      </c>
    </row>
    <row r="2" ht="22" customHeight="1">
      <c r="A2" s="2" t="inlineStr">
        <is>
          <t>Sample transaction-level data for demonstrating formulas, controls and dashboard reporting.</t>
        </is>
      </c>
    </row>
    <row r="4">
      <c r="A4" s="7" t="inlineStr">
        <is>
          <t>Date</t>
        </is>
      </c>
      <c r="B4" s="7" t="inlineStr">
        <is>
          <t>Shift</t>
        </is>
      </c>
      <c r="C4" s="7" t="inlineStr">
        <is>
          <t>Loom No.</t>
        </is>
      </c>
      <c r="D4" s="7" t="inlineStr">
        <is>
          <t>Article</t>
        </is>
      </c>
      <c r="E4" s="7" t="inlineStr">
        <is>
          <t>Count</t>
        </is>
      </c>
      <c r="F4" s="7" t="inlineStr">
        <is>
          <t>Input M</t>
        </is>
      </c>
      <c r="G4" s="7" t="inlineStr">
        <is>
          <t>Output M</t>
        </is>
      </c>
      <c r="H4" s="7" t="inlineStr">
        <is>
          <t>Waste M</t>
        </is>
      </c>
      <c r="I4" s="7" t="inlineStr">
        <is>
          <t>Standard Loss %</t>
        </is>
      </c>
      <c r="J4" s="7" t="inlineStr">
        <is>
          <t>Actual Loss %</t>
        </is>
      </c>
      <c r="K4" s="7" t="inlineStr">
        <is>
          <t>Efficiency %</t>
        </is>
      </c>
      <c r="L4" s="7" t="inlineStr">
        <is>
          <t>Loss Cost (PKR)</t>
        </is>
      </c>
    </row>
    <row r="5">
      <c r="A5" s="26" t="n">
        <v>46023</v>
      </c>
      <c r="B5" s="8" t="inlineStr">
        <is>
          <t>A</t>
        </is>
      </c>
      <c r="C5" s="8" t="n">
        <v>106</v>
      </c>
      <c r="D5" s="8" t="inlineStr">
        <is>
          <t>40s PC</t>
        </is>
      </c>
      <c r="E5" s="8" t="n">
        <v>114</v>
      </c>
      <c r="F5" s="8" t="n">
        <v>32572</v>
      </c>
      <c r="G5" s="8">
        <f>F5*(1-I5)</f>
        <v/>
      </c>
      <c r="H5" s="8">
        <f>F5-G5</f>
        <v/>
      </c>
      <c r="I5" s="9" t="n">
        <v>0.02</v>
      </c>
      <c r="J5" s="9">
        <f>H5/F5</f>
        <v/>
      </c>
      <c r="K5" s="9">
        <f>G5/F5</f>
        <v/>
      </c>
      <c r="L5" s="8">
        <f>H5*0.42</f>
        <v/>
      </c>
    </row>
    <row r="6">
      <c r="A6" s="26" t="n">
        <v>46024</v>
      </c>
      <c r="B6" s="8" t="inlineStr">
        <is>
          <t>B</t>
        </is>
      </c>
      <c r="C6" s="8" t="n">
        <v>107</v>
      </c>
      <c r="D6" s="8" t="inlineStr">
        <is>
          <t>60s PC</t>
        </is>
      </c>
      <c r="E6" s="8" t="n">
        <v>106</v>
      </c>
      <c r="F6" s="8" t="n">
        <v>45870</v>
      </c>
      <c r="G6" s="8">
        <f>F6*(1-I6)</f>
        <v/>
      </c>
      <c r="H6" s="8">
        <f>F6-G6</f>
        <v/>
      </c>
      <c r="I6" s="9" t="n">
        <v>0.022</v>
      </c>
      <c r="J6" s="9">
        <f>H6/F6</f>
        <v/>
      </c>
      <c r="K6" s="9">
        <f>G6/F6</f>
        <v/>
      </c>
      <c r="L6" s="8">
        <f>H6*0.42</f>
        <v/>
      </c>
    </row>
    <row r="7">
      <c r="A7" s="26" t="n">
        <v>46025</v>
      </c>
      <c r="B7" s="8" t="inlineStr">
        <is>
          <t>C</t>
        </is>
      </c>
      <c r="C7" s="8" t="n">
        <v>108</v>
      </c>
      <c r="D7" s="8" t="inlineStr">
        <is>
          <t>30s CVC</t>
        </is>
      </c>
      <c r="E7" s="8" t="n">
        <v>105</v>
      </c>
      <c r="F7" s="8" t="n">
        <v>41825</v>
      </c>
      <c r="G7" s="8">
        <f>F7*(1-I7)</f>
        <v/>
      </c>
      <c r="H7" s="8">
        <f>F7-G7</f>
        <v/>
      </c>
      <c r="I7" s="9" t="n">
        <v>0.024</v>
      </c>
      <c r="J7" s="9">
        <f>H7/F7</f>
        <v/>
      </c>
      <c r="K7" s="9">
        <f>G7/F7</f>
        <v/>
      </c>
      <c r="L7" s="8">
        <f>H7*0.42</f>
        <v/>
      </c>
    </row>
    <row r="8">
      <c r="A8" s="26" t="n">
        <v>46026</v>
      </c>
      <c r="B8" s="8" t="inlineStr">
        <is>
          <t>A</t>
        </is>
      </c>
      <c r="C8" s="8" t="n">
        <v>109</v>
      </c>
      <c r="D8" s="8" t="inlineStr">
        <is>
          <t>20s Cotton</t>
        </is>
      </c>
      <c r="E8" s="8" t="n">
        <v>102</v>
      </c>
      <c r="F8" s="8" t="n">
        <v>28976</v>
      </c>
      <c r="G8" s="8">
        <f>F8*(1-I8)</f>
        <v/>
      </c>
      <c r="H8" s="8">
        <f>F8-G8</f>
        <v/>
      </c>
      <c r="I8" s="9" t="n">
        <v>0.018</v>
      </c>
      <c r="J8" s="9">
        <f>H8/F8</f>
        <v/>
      </c>
      <c r="K8" s="9">
        <f>G8/F8</f>
        <v/>
      </c>
      <c r="L8" s="8">
        <f>H8*0.42</f>
        <v/>
      </c>
    </row>
    <row r="9">
      <c r="A9" s="26" t="n">
        <v>46027</v>
      </c>
      <c r="B9" s="8" t="inlineStr">
        <is>
          <t>B</t>
        </is>
      </c>
      <c r="C9" s="8" t="n">
        <v>110</v>
      </c>
      <c r="D9" s="8" t="inlineStr">
        <is>
          <t>40s PC</t>
        </is>
      </c>
      <c r="E9" s="8" t="n">
        <v>105</v>
      </c>
      <c r="F9" s="8" t="n">
        <v>35164</v>
      </c>
      <c r="G9" s="8">
        <f>F9*(1-I9)</f>
        <v/>
      </c>
      <c r="H9" s="8">
        <f>F9-G9</f>
        <v/>
      </c>
      <c r="I9" s="9" t="n">
        <v>0.02</v>
      </c>
      <c r="J9" s="9">
        <f>H9/F9</f>
        <v/>
      </c>
      <c r="K9" s="9">
        <f>G9/F9</f>
        <v/>
      </c>
      <c r="L9" s="8">
        <f>H9*0.42</f>
        <v/>
      </c>
    </row>
    <row r="10">
      <c r="A10" s="26" t="n">
        <v>46028</v>
      </c>
      <c r="B10" s="8" t="inlineStr">
        <is>
          <t>C</t>
        </is>
      </c>
      <c r="C10" s="8" t="n">
        <v>111</v>
      </c>
      <c r="D10" s="8" t="inlineStr">
        <is>
          <t>60s PC</t>
        </is>
      </c>
      <c r="E10" s="8" t="n">
        <v>114</v>
      </c>
      <c r="F10" s="8" t="n">
        <v>44559</v>
      </c>
      <c r="G10" s="8">
        <f>F10*(1-I10)</f>
        <v/>
      </c>
      <c r="H10" s="8">
        <f>F10-G10</f>
        <v/>
      </c>
      <c r="I10" s="9" t="n">
        <v>0.022</v>
      </c>
      <c r="J10" s="9">
        <f>H10/F10</f>
        <v/>
      </c>
      <c r="K10" s="9">
        <f>G10/F10</f>
        <v/>
      </c>
      <c r="L10" s="8">
        <f>H10*0.42</f>
        <v/>
      </c>
    </row>
    <row r="11">
      <c r="A11" s="26" t="n">
        <v>46029</v>
      </c>
      <c r="B11" s="8" t="inlineStr">
        <is>
          <t>A</t>
        </is>
      </c>
      <c r="C11" s="8" t="n">
        <v>112</v>
      </c>
      <c r="D11" s="8" t="inlineStr">
        <is>
          <t>30s CVC</t>
        </is>
      </c>
      <c r="E11" s="8" t="n">
        <v>138</v>
      </c>
      <c r="F11" s="8" t="n">
        <v>28869</v>
      </c>
      <c r="G11" s="8">
        <f>F11*(1-I11)</f>
        <v/>
      </c>
      <c r="H11" s="8">
        <f>F11-G11</f>
        <v/>
      </c>
      <c r="I11" s="9" t="n">
        <v>0.024</v>
      </c>
      <c r="J11" s="9">
        <f>H11/F11</f>
        <v/>
      </c>
      <c r="K11" s="9">
        <f>G11/F11</f>
        <v/>
      </c>
      <c r="L11" s="8">
        <f>H11*0.42</f>
        <v/>
      </c>
    </row>
    <row r="12">
      <c r="A12" s="26" t="n">
        <v>46030</v>
      </c>
      <c r="B12" s="8" t="inlineStr">
        <is>
          <t>B</t>
        </is>
      </c>
      <c r="C12" s="8" t="n">
        <v>101</v>
      </c>
      <c r="D12" s="8" t="inlineStr">
        <is>
          <t>20s Cotton</t>
        </is>
      </c>
      <c r="E12" s="8" t="n">
        <v>135</v>
      </c>
      <c r="F12" s="8" t="n">
        <v>34515</v>
      </c>
      <c r="G12" s="8">
        <f>F12*(1-I12)</f>
        <v/>
      </c>
      <c r="H12" s="8">
        <f>F12-G12</f>
        <v/>
      </c>
      <c r="I12" s="9" t="n">
        <v>0.018</v>
      </c>
      <c r="J12" s="9">
        <f>H12/F12</f>
        <v/>
      </c>
      <c r="K12" s="9">
        <f>G12/F12</f>
        <v/>
      </c>
      <c r="L12" s="8">
        <f>H12*0.42</f>
        <v/>
      </c>
    </row>
    <row r="13">
      <c r="A13" s="26" t="n">
        <v>46031</v>
      </c>
      <c r="B13" s="8" t="inlineStr">
        <is>
          <t>C</t>
        </is>
      </c>
      <c r="C13" s="8" t="n">
        <v>102</v>
      </c>
      <c r="D13" s="8" t="inlineStr">
        <is>
          <t>40s PC</t>
        </is>
      </c>
      <c r="E13" s="8" t="n">
        <v>134</v>
      </c>
      <c r="F13" s="8" t="n">
        <v>41746</v>
      </c>
      <c r="G13" s="8">
        <f>F13*(1-I13)</f>
        <v/>
      </c>
      <c r="H13" s="8">
        <f>F13-G13</f>
        <v/>
      </c>
      <c r="I13" s="9" t="n">
        <v>0.02</v>
      </c>
      <c r="J13" s="9">
        <f>H13/F13</f>
        <v/>
      </c>
      <c r="K13" s="9">
        <f>G13/F13</f>
        <v/>
      </c>
      <c r="L13" s="8">
        <f>H13*0.42</f>
        <v/>
      </c>
    </row>
    <row r="14">
      <c r="A14" s="26" t="n">
        <v>46032</v>
      </c>
      <c r="B14" s="8" t="inlineStr">
        <is>
          <t>A</t>
        </is>
      </c>
      <c r="C14" s="8" t="n">
        <v>103</v>
      </c>
      <c r="D14" s="8" t="inlineStr">
        <is>
          <t>60s PC</t>
        </is>
      </c>
      <c r="E14" s="8" t="n">
        <v>114</v>
      </c>
      <c r="F14" s="8" t="n">
        <v>42719</v>
      </c>
      <c r="G14" s="8">
        <f>F14*(1-I14)</f>
        <v/>
      </c>
      <c r="H14" s="8">
        <f>F14-G14</f>
        <v/>
      </c>
      <c r="I14" s="9" t="n">
        <v>0.022</v>
      </c>
      <c r="J14" s="9">
        <f>H14/F14</f>
        <v/>
      </c>
      <c r="K14" s="9">
        <f>G14/F14</f>
        <v/>
      </c>
      <c r="L14" s="8">
        <f>H14*0.42</f>
        <v/>
      </c>
    </row>
    <row r="15">
      <c r="A15" s="26" t="n">
        <v>46033</v>
      </c>
      <c r="B15" s="8" t="inlineStr">
        <is>
          <t>B</t>
        </is>
      </c>
      <c r="C15" s="8" t="n">
        <v>104</v>
      </c>
      <c r="D15" s="8" t="inlineStr">
        <is>
          <t>30s CVC</t>
        </is>
      </c>
      <c r="E15" s="8" t="n">
        <v>137</v>
      </c>
      <c r="F15" s="8" t="n">
        <v>37115</v>
      </c>
      <c r="G15" s="8">
        <f>F15*(1-I15)</f>
        <v/>
      </c>
      <c r="H15" s="8">
        <f>F15-G15</f>
        <v/>
      </c>
      <c r="I15" s="9" t="n">
        <v>0.024</v>
      </c>
      <c r="J15" s="9">
        <f>H15/F15</f>
        <v/>
      </c>
      <c r="K15" s="9">
        <f>G15/F15</f>
        <v/>
      </c>
      <c r="L15" s="8">
        <f>H15*0.42</f>
        <v/>
      </c>
    </row>
    <row r="16">
      <c r="A16" s="26" t="n">
        <v>46034</v>
      </c>
      <c r="B16" s="8" t="inlineStr">
        <is>
          <t>C</t>
        </is>
      </c>
      <c r="C16" s="8" t="n">
        <v>105</v>
      </c>
      <c r="D16" s="8" t="inlineStr">
        <is>
          <t>20s Cotton</t>
        </is>
      </c>
      <c r="E16" s="8" t="n">
        <v>100</v>
      </c>
      <c r="F16" s="8" t="n">
        <v>33231</v>
      </c>
      <c r="G16" s="8">
        <f>F16*(1-I16)</f>
        <v/>
      </c>
      <c r="H16" s="8">
        <f>F16-G16</f>
        <v/>
      </c>
      <c r="I16" s="9" t="n">
        <v>0.018</v>
      </c>
      <c r="J16" s="9">
        <f>H16/F16</f>
        <v/>
      </c>
      <c r="K16" s="9">
        <f>G16/F16</f>
        <v/>
      </c>
      <c r="L16" s="8">
        <f>H16*0.42</f>
        <v/>
      </c>
    </row>
    <row r="17">
      <c r="A17" s="26" t="n">
        <v>46035</v>
      </c>
      <c r="B17" s="8" t="inlineStr">
        <is>
          <t>A</t>
        </is>
      </c>
      <c r="C17" s="8" t="n">
        <v>106</v>
      </c>
      <c r="D17" s="8" t="inlineStr">
        <is>
          <t>40s PC</t>
        </is>
      </c>
      <c r="E17" s="8" t="n">
        <v>127</v>
      </c>
      <c r="F17" s="8" t="n">
        <v>39149</v>
      </c>
      <c r="G17" s="8">
        <f>F17*(1-I17)</f>
        <v/>
      </c>
      <c r="H17" s="8">
        <f>F17-G17</f>
        <v/>
      </c>
      <c r="I17" s="9" t="n">
        <v>0.02</v>
      </c>
      <c r="J17" s="9">
        <f>H17/F17</f>
        <v/>
      </c>
      <c r="K17" s="9">
        <f>G17/F17</f>
        <v/>
      </c>
      <c r="L17" s="8">
        <f>H17*0.42</f>
        <v/>
      </c>
    </row>
    <row r="18">
      <c r="A18" s="26" t="n">
        <v>46036</v>
      </c>
      <c r="B18" s="8" t="inlineStr">
        <is>
          <t>B</t>
        </is>
      </c>
      <c r="C18" s="8" t="n">
        <v>107</v>
      </c>
      <c r="D18" s="8" t="inlineStr">
        <is>
          <t>60s PC</t>
        </is>
      </c>
      <c r="E18" s="8" t="n">
        <v>117</v>
      </c>
      <c r="F18" s="8" t="n">
        <v>33094</v>
      </c>
      <c r="G18" s="8">
        <f>F18*(1-I18)</f>
        <v/>
      </c>
      <c r="H18" s="8">
        <f>F18-G18</f>
        <v/>
      </c>
      <c r="I18" s="9" t="n">
        <v>0.022</v>
      </c>
      <c r="J18" s="9">
        <f>H18/F18</f>
        <v/>
      </c>
      <c r="K18" s="9">
        <f>G18/F18</f>
        <v/>
      </c>
      <c r="L18" s="8">
        <f>H18*0.42</f>
        <v/>
      </c>
    </row>
    <row r="19">
      <c r="A19" s="26" t="n">
        <v>46037</v>
      </c>
      <c r="B19" s="8" t="inlineStr">
        <is>
          <t>C</t>
        </is>
      </c>
      <c r="C19" s="8" t="n">
        <v>108</v>
      </c>
      <c r="D19" s="8" t="inlineStr">
        <is>
          <t>30s CVC</t>
        </is>
      </c>
      <c r="E19" s="8" t="n">
        <v>113</v>
      </c>
      <c r="F19" s="8" t="n">
        <v>39029</v>
      </c>
      <c r="G19" s="8">
        <f>F19*(1-I19)</f>
        <v/>
      </c>
      <c r="H19" s="8">
        <f>F19-G19</f>
        <v/>
      </c>
      <c r="I19" s="9" t="n">
        <v>0.024</v>
      </c>
      <c r="J19" s="9">
        <f>H19/F19</f>
        <v/>
      </c>
      <c r="K19" s="9">
        <f>G19/F19</f>
        <v/>
      </c>
      <c r="L19" s="8">
        <f>H19*0.42</f>
        <v/>
      </c>
    </row>
    <row r="20">
      <c r="A20" s="26" t="n">
        <v>46038</v>
      </c>
      <c r="B20" s="8" t="inlineStr">
        <is>
          <t>A</t>
        </is>
      </c>
      <c r="C20" s="8" t="n">
        <v>109</v>
      </c>
      <c r="D20" s="8" t="inlineStr">
        <is>
          <t>20s Cotton</t>
        </is>
      </c>
      <c r="E20" s="8" t="n">
        <v>106</v>
      </c>
      <c r="F20" s="8" t="n">
        <v>31039</v>
      </c>
      <c r="G20" s="8">
        <f>F20*(1-I20)</f>
        <v/>
      </c>
      <c r="H20" s="8">
        <f>F20-G20</f>
        <v/>
      </c>
      <c r="I20" s="9" t="n">
        <v>0.018</v>
      </c>
      <c r="J20" s="9">
        <f>H20/F20</f>
        <v/>
      </c>
      <c r="K20" s="9">
        <f>G20/F20</f>
        <v/>
      </c>
      <c r="L20" s="8">
        <f>H20*0.42</f>
        <v/>
      </c>
    </row>
    <row r="21">
      <c r="A21" s="26" t="n">
        <v>46039</v>
      </c>
      <c r="B21" s="8" t="inlineStr">
        <is>
          <t>B</t>
        </is>
      </c>
      <c r="C21" s="8" t="n">
        <v>110</v>
      </c>
      <c r="D21" s="8" t="inlineStr">
        <is>
          <t>40s PC</t>
        </is>
      </c>
      <c r="E21" s="8" t="n">
        <v>124</v>
      </c>
      <c r="F21" s="8" t="n">
        <v>31169</v>
      </c>
      <c r="G21" s="8">
        <f>F21*(1-I21)</f>
        <v/>
      </c>
      <c r="H21" s="8">
        <f>F21-G21</f>
        <v/>
      </c>
      <c r="I21" s="9" t="n">
        <v>0.02</v>
      </c>
      <c r="J21" s="9">
        <f>H21/F21</f>
        <v/>
      </c>
      <c r="K21" s="9">
        <f>G21/F21</f>
        <v/>
      </c>
      <c r="L21" s="8">
        <f>H21*0.42</f>
        <v/>
      </c>
    </row>
    <row r="22">
      <c r="A22" s="26" t="n">
        <v>46040</v>
      </c>
      <c r="B22" s="8" t="inlineStr">
        <is>
          <t>C</t>
        </is>
      </c>
      <c r="C22" s="8" t="n">
        <v>111</v>
      </c>
      <c r="D22" s="8" t="inlineStr">
        <is>
          <t>60s PC</t>
        </is>
      </c>
      <c r="E22" s="8" t="n">
        <v>122</v>
      </c>
      <c r="F22" s="8" t="n">
        <v>39270</v>
      </c>
      <c r="G22" s="8">
        <f>F22*(1-I22)</f>
        <v/>
      </c>
      <c r="H22" s="8">
        <f>F22-G22</f>
        <v/>
      </c>
      <c r="I22" s="9" t="n">
        <v>0.022</v>
      </c>
      <c r="J22" s="9">
        <f>H22/F22</f>
        <v/>
      </c>
      <c r="K22" s="9">
        <f>G22/F22</f>
        <v/>
      </c>
      <c r="L22" s="8">
        <f>H22*0.42</f>
        <v/>
      </c>
    </row>
    <row r="23">
      <c r="A23" s="26" t="n">
        <v>46041</v>
      </c>
      <c r="B23" s="8" t="inlineStr">
        <is>
          <t>A</t>
        </is>
      </c>
      <c r="C23" s="8" t="n">
        <v>112</v>
      </c>
      <c r="D23" s="8" t="inlineStr">
        <is>
          <t>30s CVC</t>
        </is>
      </c>
      <c r="E23" s="8" t="n">
        <v>138</v>
      </c>
      <c r="F23" s="8" t="n">
        <v>36667</v>
      </c>
      <c r="G23" s="8">
        <f>F23*(1-I23)</f>
        <v/>
      </c>
      <c r="H23" s="8">
        <f>F23-G23</f>
        <v/>
      </c>
      <c r="I23" s="9" t="n">
        <v>0.024</v>
      </c>
      <c r="J23" s="9">
        <f>H23/F23</f>
        <v/>
      </c>
      <c r="K23" s="9">
        <f>G23/F23</f>
        <v/>
      </c>
      <c r="L23" s="8">
        <f>H23*0.42</f>
        <v/>
      </c>
    </row>
    <row r="24">
      <c r="A24" s="26" t="n">
        <v>46042</v>
      </c>
      <c r="B24" s="8" t="inlineStr">
        <is>
          <t>B</t>
        </is>
      </c>
      <c r="C24" s="8" t="n">
        <v>101</v>
      </c>
      <c r="D24" s="8" t="inlineStr">
        <is>
          <t>20s Cotton</t>
        </is>
      </c>
      <c r="E24" s="8" t="n">
        <v>102</v>
      </c>
      <c r="F24" s="8" t="n">
        <v>43054</v>
      </c>
      <c r="G24" s="8">
        <f>F24*(1-I24)</f>
        <v/>
      </c>
      <c r="H24" s="8">
        <f>F24-G24</f>
        <v/>
      </c>
      <c r="I24" s="9" t="n">
        <v>0.018</v>
      </c>
      <c r="J24" s="9">
        <f>H24/F24</f>
        <v/>
      </c>
      <c r="K24" s="9">
        <f>G24/F24</f>
        <v/>
      </c>
      <c r="L24" s="8">
        <f>H24*0.42</f>
        <v/>
      </c>
    </row>
  </sheetData>
  <autoFilter ref="A4:L24"/>
  <mergeCells count="2">
    <mergeCell ref="A2:L2"/>
    <mergeCell ref="A1:L1"/>
  </mergeCells>
  <conditionalFormatting sqref="J5:J24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7" t="inlineStr">
        <is>
          <t>PIVOT ANALYSIS</t>
        </is>
      </c>
    </row>
    <row r="2">
      <c r="A2" s="38" t="inlineStr">
        <is>
          <t>Management summary tables feeding the dashboard charts.</t>
        </is>
      </c>
    </row>
    <row r="3">
      <c r="A3" s="20" t="inlineStr">
        <is>
          <t>Article</t>
        </is>
      </c>
      <c r="B3" s="20" t="inlineStr">
        <is>
          <t>Input M</t>
        </is>
      </c>
      <c r="C3" s="20" t="inlineStr">
        <is>
          <t>Output M</t>
        </is>
      </c>
      <c r="D3" s="20" t="inlineStr">
        <is>
          <t>Waste M</t>
        </is>
      </c>
      <c r="E3" s="20" t="inlineStr">
        <is>
          <t>Loss %</t>
        </is>
      </c>
      <c r="F3" s="20" t="inlineStr">
        <is>
          <t>Efficiency %</t>
        </is>
      </c>
      <c r="G3" s="20" t="inlineStr">
        <is>
          <t>Loss Cost PKR</t>
        </is>
      </c>
    </row>
    <row r="4">
      <c r="A4" s="21" t="inlineStr">
        <is>
          <t>40s PC</t>
        </is>
      </c>
      <c r="B4" s="21">
        <f>SUMIFS('Loss Data'!F:F,'Loss Data'!D:D,A4)</f>
        <v/>
      </c>
      <c r="C4" s="21">
        <f>SUMIFS('Loss Data'!G:G,'Loss Data'!D:D,A4)</f>
        <v/>
      </c>
      <c r="D4" s="21">
        <f>SUMIFS('Loss Data'!H:H,'Loss Data'!D:D,A4)</f>
        <v/>
      </c>
      <c r="E4" s="21">
        <f>IFERROR(D4/B4,0)</f>
        <v/>
      </c>
      <c r="F4" s="21">
        <f>IFERROR(C4/B4,0)</f>
        <v/>
      </c>
      <c r="G4" s="21">
        <f>SUMIFS('Loss Data'!L:L,'Loss Data'!D:D,A4)</f>
        <v/>
      </c>
    </row>
    <row r="5">
      <c r="A5" s="21" t="inlineStr">
        <is>
          <t>60s PC</t>
        </is>
      </c>
      <c r="B5" s="21">
        <f>SUMIFS('Loss Data'!F:F,'Loss Data'!D:D,A5)</f>
        <v/>
      </c>
      <c r="C5" s="21">
        <f>SUMIFS('Loss Data'!G:G,'Loss Data'!D:D,A5)</f>
        <v/>
      </c>
      <c r="D5" s="21">
        <f>SUMIFS('Loss Data'!H:H,'Loss Data'!D:D,A5)</f>
        <v/>
      </c>
      <c r="E5" s="21">
        <f>IFERROR(D5/B5,0)</f>
        <v/>
      </c>
      <c r="F5" s="21">
        <f>IFERROR(C5/B5,0)</f>
        <v/>
      </c>
      <c r="G5" s="21">
        <f>SUMIFS('Loss Data'!L:L,'Loss Data'!D:D,A5)</f>
        <v/>
      </c>
    </row>
    <row r="6">
      <c r="A6" s="21" t="inlineStr">
        <is>
          <t>30s CVC</t>
        </is>
      </c>
      <c r="B6" s="21">
        <f>SUMIFS('Loss Data'!F:F,'Loss Data'!D:D,A6)</f>
        <v/>
      </c>
      <c r="C6" s="21">
        <f>SUMIFS('Loss Data'!G:G,'Loss Data'!D:D,A6)</f>
        <v/>
      </c>
      <c r="D6" s="21">
        <f>SUMIFS('Loss Data'!H:H,'Loss Data'!D:D,A6)</f>
        <v/>
      </c>
      <c r="E6" s="21">
        <f>IFERROR(D6/B6,0)</f>
        <v/>
      </c>
      <c r="F6" s="21">
        <f>IFERROR(C6/B6,0)</f>
        <v/>
      </c>
      <c r="G6" s="21">
        <f>SUMIFS('Loss Data'!L:L,'Loss Data'!D:D,A6)</f>
        <v/>
      </c>
    </row>
    <row r="7">
      <c r="A7" s="21" t="inlineStr">
        <is>
          <t>20s Cotton</t>
        </is>
      </c>
      <c r="B7" s="21">
        <f>SUMIFS('Loss Data'!F:F,'Loss Data'!D:D,A7)</f>
        <v/>
      </c>
      <c r="C7" s="21">
        <f>SUMIFS('Loss Data'!G:G,'Loss Data'!D:D,A7)</f>
        <v/>
      </c>
      <c r="D7" s="21">
        <f>SUMIFS('Loss Data'!H:H,'Loss Data'!D:D,A7)</f>
        <v/>
      </c>
      <c r="E7" s="21">
        <f>IFERROR(D7/B7,0)</f>
        <v/>
      </c>
      <c r="F7" s="21">
        <f>IFERROR(C7/B7,0)</f>
        <v/>
      </c>
      <c r="G7" s="21">
        <f>SUMIFS('Loss Data'!L:L,'Loss Data'!D:D,A7)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2026-09-15T13:29:50Z</dcterms:created>
  <dcterms:modified xmlns:dcterms="http://purl.org/dc/terms/" xmlns:xsi="http://www.w3.org/2001/XMLSchema-instance" xsi:type="dcterms:W3CDTF">2026-09-15T13:39:52Z</dcterms:modified>
</cp:coreProperties>
</file>